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usti\Documents\PyCharm\441B Webscrape\"/>
    </mc:Choice>
  </mc:AlternateContent>
  <xr:revisionPtr revIDLastSave="0" documentId="13_ncr:1_{AC867878-80BF-457D-B407-2DE0C06E9801}" xr6:coauthVersionLast="46" xr6:coauthVersionMax="46" xr10:uidLastSave="{00000000-0000-0000-0000-000000000000}"/>
  <bookViews>
    <workbookView xWindow="0" yWindow="0" windowWidth="19200" windowHeight="11400" activeTab="1" xr2:uid="{60D236F3-8FF8-4099-B670-F0202106D5BE}"/>
  </bookViews>
  <sheets>
    <sheet name="Sheet1" sheetId="1" r:id="rId1"/>
    <sheet name="Sheet4" sheetId="6" r:id="rId2"/>
  </sheets>
  <calcPr calcId="191029"/>
  <pivotCaches>
    <pivotCache cacheId="49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<sst xmlns="http://schemas.openxmlformats.org/spreadsheetml/2006/main" count="173" uniqueCount="66">
  <si>
    <t>Player</t>
  </si>
  <si>
    <t>Pass Yds</t>
  </si>
  <si>
    <t>Yds/Att</t>
  </si>
  <si>
    <t>Att</t>
  </si>
  <si>
    <t>Cmp</t>
  </si>
  <si>
    <t>Cmp %</t>
  </si>
  <si>
    <t>TD</t>
  </si>
  <si>
    <t>INT</t>
  </si>
  <si>
    <t>Rate</t>
  </si>
  <si>
    <t>1st</t>
  </si>
  <si>
    <t>1st%</t>
  </si>
  <si>
    <t>Lng</t>
  </si>
  <si>
    <t>Sck</t>
  </si>
  <si>
    <t>SckY</t>
  </si>
  <si>
    <t>Deshaun Watson</t>
  </si>
  <si>
    <t>Patrick Mahomes</t>
  </si>
  <si>
    <t>Tom Brady</t>
  </si>
  <si>
    <t>Matt Ryan</t>
  </si>
  <si>
    <t>Josh Allen</t>
  </si>
  <si>
    <t>Justin Herbert</t>
  </si>
  <si>
    <t>Aaron Rodgers</t>
  </si>
  <si>
    <t>Kirk Cousins</t>
  </si>
  <si>
    <t>Russell Wilson</t>
  </si>
  <si>
    <t>Philip Rivers</t>
  </si>
  <si>
    <t>Derek Carr</t>
  </si>
  <si>
    <t>Matthew Stafford</t>
  </si>
  <si>
    <t>Kyler Murray</t>
  </si>
  <si>
    <t>Jared Goff</t>
  </si>
  <si>
    <t>Ryan Tannehill</t>
  </si>
  <si>
    <t>Ben Roethlisberger</t>
  </si>
  <si>
    <t>Teddy Bridgewater</t>
  </si>
  <si>
    <t>Baker Mayfield</t>
  </si>
  <si>
    <t>Daniel Jones</t>
  </si>
  <si>
    <t>Drew Brees</t>
  </si>
  <si>
    <t>Drew Lock</t>
  </si>
  <si>
    <t>Lamar Jackson</t>
  </si>
  <si>
    <t>Joe Burrow</t>
  </si>
  <si>
    <t>Cam Newton</t>
  </si>
  <si>
    <t>Carson Wentz</t>
  </si>
  <si>
    <t>Row Labels</t>
  </si>
  <si>
    <t>Grand Total</t>
  </si>
  <si>
    <t>Sum of TD</t>
  </si>
  <si>
    <t>Conf</t>
  </si>
  <si>
    <t>AFC</t>
  </si>
  <si>
    <t>NFC</t>
  </si>
  <si>
    <t>Sum of Sck</t>
  </si>
  <si>
    <t>20+</t>
  </si>
  <si>
    <t>40+</t>
  </si>
  <si>
    <t>Div</t>
  </si>
  <si>
    <t>AFC South</t>
  </si>
  <si>
    <t>AFC West</t>
  </si>
  <si>
    <t>NFC South</t>
  </si>
  <si>
    <t>AFC East</t>
  </si>
  <si>
    <t>NFC North</t>
  </si>
  <si>
    <t>NFC West</t>
  </si>
  <si>
    <t>AFC North</t>
  </si>
  <si>
    <t>NFC East</t>
  </si>
  <si>
    <t>(All)</t>
  </si>
  <si>
    <t>Average of Rate</t>
  </si>
  <si>
    <t>Nick Mullens</t>
  </si>
  <si>
    <t>Gardner Minshew</t>
  </si>
  <si>
    <t>Sam Darnold</t>
  </si>
  <si>
    <t>Andy Dalton</t>
  </si>
  <si>
    <t>Ryan Fitzpatrick</t>
  </si>
  <si>
    <t>Mitchell Trubisky</t>
  </si>
  <si>
    <t>Alex 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</si>
</sst>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pivotCacheDefinition" Target="pivotCache/pivotCacheDefinition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[NFL-Dashboard(with Form Controls).xlsm]Sheet4!PivotTable3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Touchdowns and Sacks/Interceptions</a:t>
            </a:r>
            <a:r>
              <a:rPr lang="en-US" baseline="0"/>
              <a:t> by Player, Division, &amp; Conference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Sum of TD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multiLvlStrRef>
              <c:f>Sheet4!$A$4:$A$46</c:f>
              <c:multiLvlStrCache>
                <c:ptCount val="32"/>
                <c:lvl>
                  <c:pt idx="0">
                    <c:v>Cam Newton</c:v>
                  </c:pt>
                  <c:pt idx="1">
                    <c:v>Josh Allen</c:v>
                  </c:pt>
                  <c:pt idx="2">
                    <c:v>Sam Darnold</c:v>
                  </c:pt>
                  <c:pt idx="3">
                    <c:v>Ryan Fitzpatrick</c:v>
                  </c:pt>
                  <c:pt idx="4">
                    <c:v>Baker Mayfield</c:v>
                  </c:pt>
                  <c:pt idx="5">
                    <c:v>Ben Roethlisberger</c:v>
                  </c:pt>
                  <c:pt idx="6">
                    <c:v>Joe Burrow</c:v>
                  </c:pt>
                  <c:pt idx="7">
                    <c:v>Lamar Jackson</c:v>
                  </c:pt>
                  <c:pt idx="8">
                    <c:v>Deshaun Watson</c:v>
                  </c:pt>
                  <c:pt idx="9">
                    <c:v>Philip Rivers</c:v>
                  </c:pt>
                  <c:pt idx="10">
                    <c:v>Ryan Tannehill</c:v>
                  </c:pt>
                  <c:pt idx="11">
                    <c:v>Gardner Minshew</c:v>
                  </c:pt>
                  <c:pt idx="12">
                    <c:v>Derek Carr</c:v>
                  </c:pt>
                  <c:pt idx="13">
                    <c:v>Drew Lock</c:v>
                  </c:pt>
                  <c:pt idx="14">
                    <c:v>Justin Herbert</c:v>
                  </c:pt>
                  <c:pt idx="15">
                    <c:v>Patrick Mahomes</c:v>
                  </c:pt>
                  <c:pt idx="16">
                    <c:v>Carson Wentz</c:v>
                  </c:pt>
                  <c:pt idx="17">
                    <c:v>Daniel Jones</c:v>
                  </c:pt>
                  <c:pt idx="18">
                    <c:v>Andy Dalton</c:v>
                  </c:pt>
                  <c:pt idx="19">
                    <c:v>Alex Smith</c:v>
                  </c:pt>
                  <c:pt idx="20">
                    <c:v>Aaron Rodgers</c:v>
                  </c:pt>
                  <c:pt idx="21">
                    <c:v>Kirk Cousins</c:v>
                  </c:pt>
                  <c:pt idx="22">
                    <c:v>Matthew Stafford</c:v>
                  </c:pt>
                  <c:pt idx="23">
                    <c:v>Mitchell Trubisky</c:v>
                  </c:pt>
                  <c:pt idx="24">
                    <c:v>Drew Brees</c:v>
                  </c:pt>
                  <c:pt idx="25">
                    <c:v>Matt Ryan</c:v>
                  </c:pt>
                  <c:pt idx="26">
                    <c:v>Teddy Bridgewater</c:v>
                  </c:pt>
                  <c:pt idx="27">
                    <c:v>Tom Brady</c:v>
                  </c:pt>
                  <c:pt idx="28">
                    <c:v>Jared Goff</c:v>
                  </c:pt>
                  <c:pt idx="29">
                    <c:v>Kyler Murray</c:v>
                  </c:pt>
                  <c:pt idx="30">
                    <c:v>Russell Wilson</c:v>
                  </c:pt>
                  <c:pt idx="31">
                    <c:v>Nick Mullens</c:v>
                  </c:pt>
                </c:lvl>
                <c:lvl>
                  <c:pt idx="0">
                    <c:v>AFC East</c:v>
                  </c:pt>
                  <c:pt idx="4">
                    <c:v>AFC North</c:v>
                  </c:pt>
                  <c:pt idx="8">
                    <c:v>AFC South</c:v>
                  </c:pt>
                  <c:pt idx="12">
                    <c:v>AFC West</c:v>
                  </c:pt>
                  <c:pt idx="16">
                    <c:v>NFC East</c:v>
                  </c:pt>
                  <c:pt idx="20">
                    <c:v>NFC North</c:v>
                  </c:pt>
                  <c:pt idx="24">
                    <c:v>NFC South</c:v>
                  </c:pt>
                  <c:pt idx="28">
                    <c:v>NFC West</c:v>
                  </c:pt>
                </c:lvl>
                <c:lvl>
                  <c:pt idx="0">
                    <c:v>AFC</c:v>
                  </c:pt>
                  <c:pt idx="16">
                    <c:v>NFC</c:v>
                  </c:pt>
                </c:lvl>
              </c:multiLvlStrCache>
            </c:multiLvlStrRef>
          </c:cat>
          <c:val>
            <c:numRef>
              <c:f>Sheet4!$B$4:$B$46</c:f>
              <c:numCache>
                <c:formatCode>General</c:formatCode>
                <c:ptCount val="32"/>
                <c:pt idx="0">
                  <c:v>8</c:v>
                </c:pt>
                <c:pt idx="1">
                  <c:v>37</c:v>
                </c:pt>
                <c:pt idx="2">
                  <c:v>9</c:v>
                </c:pt>
                <c:pt idx="3">
                  <c:v>13</c:v>
                </c:pt>
                <c:pt idx="4">
                  <c:v>26</c:v>
                </c:pt>
                <c:pt idx="5">
                  <c:v>33</c:v>
                </c:pt>
                <c:pt idx="6">
                  <c:v>13</c:v>
                </c:pt>
                <c:pt idx="7">
                  <c:v>26</c:v>
                </c:pt>
                <c:pt idx="8">
                  <c:v>33</c:v>
                </c:pt>
                <c:pt idx="9">
                  <c:v>24</c:v>
                </c:pt>
                <c:pt idx="10">
                  <c:v>33</c:v>
                </c:pt>
                <c:pt idx="11">
                  <c:v>16</c:v>
                </c:pt>
                <c:pt idx="12">
                  <c:v>27</c:v>
                </c:pt>
                <c:pt idx="13">
                  <c:v>16</c:v>
                </c:pt>
                <c:pt idx="14">
                  <c:v>31</c:v>
                </c:pt>
                <c:pt idx="15">
                  <c:v>38</c:v>
                </c:pt>
                <c:pt idx="16">
                  <c:v>16</c:v>
                </c:pt>
                <c:pt idx="17">
                  <c:v>11</c:v>
                </c:pt>
                <c:pt idx="18">
                  <c:v>14</c:v>
                </c:pt>
                <c:pt idx="19">
                  <c:v>6</c:v>
                </c:pt>
                <c:pt idx="20">
                  <c:v>48</c:v>
                </c:pt>
                <c:pt idx="21">
                  <c:v>35</c:v>
                </c:pt>
                <c:pt idx="22">
                  <c:v>26</c:v>
                </c:pt>
                <c:pt idx="23">
                  <c:v>16</c:v>
                </c:pt>
                <c:pt idx="24">
                  <c:v>24</c:v>
                </c:pt>
                <c:pt idx="25">
                  <c:v>26</c:v>
                </c:pt>
                <c:pt idx="26">
                  <c:v>15</c:v>
                </c:pt>
                <c:pt idx="27">
                  <c:v>40</c:v>
                </c:pt>
                <c:pt idx="28">
                  <c:v>20</c:v>
                </c:pt>
                <c:pt idx="29">
                  <c:v>26</c:v>
                </c:pt>
                <c:pt idx="30">
                  <c:v>40</c:v>
                </c:pt>
                <c:pt idx="3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4-4886-BAE0-4E7A625CF742}"/>
            </c:ext>
          </c:extLst>
        </c:ser>
        <c:ser>
          <c:idx val="1"/>
          <c:order val="1"/>
          <c:tx>
            <c:strRef>
              <c:f>Sheet4!$C$3</c:f>
              <c:strCache>
                <c:ptCount val="1"/>
                <c:pt idx="0">
                  <c:v>Sum of Sck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multiLvlStrRef>
              <c:f>Sheet4!$A$4:$A$46</c:f>
              <c:multiLvlStrCache>
                <c:ptCount val="32"/>
                <c:lvl>
                  <c:pt idx="0">
                    <c:v>Cam Newton</c:v>
                  </c:pt>
                  <c:pt idx="1">
                    <c:v>Josh Allen</c:v>
                  </c:pt>
                  <c:pt idx="2">
                    <c:v>Sam Darnold</c:v>
                  </c:pt>
                  <c:pt idx="3">
                    <c:v>Ryan Fitzpatrick</c:v>
                  </c:pt>
                  <c:pt idx="4">
                    <c:v>Baker Mayfield</c:v>
                  </c:pt>
                  <c:pt idx="5">
                    <c:v>Ben Roethlisberger</c:v>
                  </c:pt>
                  <c:pt idx="6">
                    <c:v>Joe Burrow</c:v>
                  </c:pt>
                  <c:pt idx="7">
                    <c:v>Lamar Jackson</c:v>
                  </c:pt>
                  <c:pt idx="8">
                    <c:v>Deshaun Watson</c:v>
                  </c:pt>
                  <c:pt idx="9">
                    <c:v>Philip Rivers</c:v>
                  </c:pt>
                  <c:pt idx="10">
                    <c:v>Ryan Tannehill</c:v>
                  </c:pt>
                  <c:pt idx="11">
                    <c:v>Gardner Minshew</c:v>
                  </c:pt>
                  <c:pt idx="12">
                    <c:v>Derek Carr</c:v>
                  </c:pt>
                  <c:pt idx="13">
                    <c:v>Drew Lock</c:v>
                  </c:pt>
                  <c:pt idx="14">
                    <c:v>Justin Herbert</c:v>
                  </c:pt>
                  <c:pt idx="15">
                    <c:v>Patrick Mahomes</c:v>
                  </c:pt>
                  <c:pt idx="16">
                    <c:v>Carson Wentz</c:v>
                  </c:pt>
                  <c:pt idx="17">
                    <c:v>Daniel Jones</c:v>
                  </c:pt>
                  <c:pt idx="18">
                    <c:v>Andy Dalton</c:v>
                  </c:pt>
                  <c:pt idx="19">
                    <c:v>Alex Smith</c:v>
                  </c:pt>
                  <c:pt idx="20">
                    <c:v>Aaron Rodgers</c:v>
                  </c:pt>
                  <c:pt idx="21">
                    <c:v>Kirk Cousins</c:v>
                  </c:pt>
                  <c:pt idx="22">
                    <c:v>Matthew Stafford</c:v>
                  </c:pt>
                  <c:pt idx="23">
                    <c:v>Mitchell Trubisky</c:v>
                  </c:pt>
                  <c:pt idx="24">
                    <c:v>Drew Brees</c:v>
                  </c:pt>
                  <c:pt idx="25">
                    <c:v>Matt Ryan</c:v>
                  </c:pt>
                  <c:pt idx="26">
                    <c:v>Teddy Bridgewater</c:v>
                  </c:pt>
                  <c:pt idx="27">
                    <c:v>Tom Brady</c:v>
                  </c:pt>
                  <c:pt idx="28">
                    <c:v>Jared Goff</c:v>
                  </c:pt>
                  <c:pt idx="29">
                    <c:v>Kyler Murray</c:v>
                  </c:pt>
                  <c:pt idx="30">
                    <c:v>Russell Wilson</c:v>
                  </c:pt>
                  <c:pt idx="31">
                    <c:v>Nick Mullens</c:v>
                  </c:pt>
                </c:lvl>
                <c:lvl>
                  <c:pt idx="0">
                    <c:v>AFC East</c:v>
                  </c:pt>
                  <c:pt idx="4">
                    <c:v>AFC North</c:v>
                  </c:pt>
                  <c:pt idx="8">
                    <c:v>AFC South</c:v>
                  </c:pt>
                  <c:pt idx="12">
                    <c:v>AFC West</c:v>
                  </c:pt>
                  <c:pt idx="16">
                    <c:v>NFC East</c:v>
                  </c:pt>
                  <c:pt idx="20">
                    <c:v>NFC North</c:v>
                  </c:pt>
                  <c:pt idx="24">
                    <c:v>NFC South</c:v>
                  </c:pt>
                  <c:pt idx="28">
                    <c:v>NFC West</c:v>
                  </c:pt>
                </c:lvl>
                <c:lvl>
                  <c:pt idx="0">
                    <c:v>AFC</c:v>
                  </c:pt>
                  <c:pt idx="16">
                    <c:v>NFC</c:v>
                  </c:pt>
                </c:lvl>
              </c:multiLvlStrCache>
            </c:multiLvlStrRef>
          </c:cat>
          <c:val>
            <c:numRef>
              <c:f>Sheet4!$C$4:$C$46</c:f>
              <c:numCache>
                <c:formatCode>General</c:formatCode>
                <c:ptCount val="32"/>
                <c:pt idx="0">
                  <c:v>31</c:v>
                </c:pt>
                <c:pt idx="1">
                  <c:v>26</c:v>
                </c:pt>
                <c:pt idx="2">
                  <c:v>35</c:v>
                </c:pt>
                <c:pt idx="3">
                  <c:v>14</c:v>
                </c:pt>
                <c:pt idx="4">
                  <c:v>26</c:v>
                </c:pt>
                <c:pt idx="5">
                  <c:v>13</c:v>
                </c:pt>
                <c:pt idx="6">
                  <c:v>32</c:v>
                </c:pt>
                <c:pt idx="7">
                  <c:v>29</c:v>
                </c:pt>
                <c:pt idx="8">
                  <c:v>49</c:v>
                </c:pt>
                <c:pt idx="9">
                  <c:v>19</c:v>
                </c:pt>
                <c:pt idx="10">
                  <c:v>24</c:v>
                </c:pt>
                <c:pt idx="11">
                  <c:v>27</c:v>
                </c:pt>
                <c:pt idx="12">
                  <c:v>26</c:v>
                </c:pt>
                <c:pt idx="13">
                  <c:v>19</c:v>
                </c:pt>
                <c:pt idx="14">
                  <c:v>32</c:v>
                </c:pt>
                <c:pt idx="15">
                  <c:v>22</c:v>
                </c:pt>
                <c:pt idx="16">
                  <c:v>50</c:v>
                </c:pt>
                <c:pt idx="17">
                  <c:v>45</c:v>
                </c:pt>
                <c:pt idx="18">
                  <c:v>24</c:v>
                </c:pt>
                <c:pt idx="19">
                  <c:v>22</c:v>
                </c:pt>
                <c:pt idx="20">
                  <c:v>20</c:v>
                </c:pt>
                <c:pt idx="21">
                  <c:v>39</c:v>
                </c:pt>
                <c:pt idx="22">
                  <c:v>38</c:v>
                </c:pt>
                <c:pt idx="23">
                  <c:v>18</c:v>
                </c:pt>
                <c:pt idx="24">
                  <c:v>13</c:v>
                </c:pt>
                <c:pt idx="25">
                  <c:v>41</c:v>
                </c:pt>
                <c:pt idx="26">
                  <c:v>31</c:v>
                </c:pt>
                <c:pt idx="27">
                  <c:v>21</c:v>
                </c:pt>
                <c:pt idx="28">
                  <c:v>23</c:v>
                </c:pt>
                <c:pt idx="29">
                  <c:v>27</c:v>
                </c:pt>
                <c:pt idx="30">
                  <c:v>47</c:v>
                </c:pt>
                <c:pt idx="3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DFC4-4886-BAE0-4E7A625CF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710985327"/>
        <c:axId val="1710986159"/>
      </c:barChart>
      <c:catAx>
        <c:axId val="171098532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0986159"/>
        <c:crosses val="autoZero"/>
        <c:auto val="1"/>
        <c:lblAlgn val="ctr"/>
        <c:lblOffset val="100"/>
        <c:noMultiLvlLbl val="0"/>
      </c:catAx>
      <c:valAx>
        <c:axId val="17109861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098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[NFL-Dashboard(with Form Controls).xlsm]Sheet4!PivotTable8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Passer Rating by Division</a:t>
            </a:r>
          </a:p>
        </c:rich>
      </c:tx>
      <c:layout>
        <c:manualLayout>
          <c:xMode val="edge"/>
          <c:yMode val="edge"/>
          <c:x val="0.26884649347543543"/>
          <c:y val="8.14062292037608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</a:ln>
          <a:effectLst>
            <a:glow rad="76200">
              <a:schemeClr val="accent1">
                <a:satMod val="175000"/>
                <a:alpha val="3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strRef>
              <c:f>Sheet4!$B$50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Sheet4!$A$51:$A$59</c:f>
              <c:strCache>
                <c:ptCount val="8"/>
                <c:pt idx="0">
                  <c:v>AFC East</c:v>
                </c:pt>
                <c:pt idx="1">
                  <c:v>AFC North</c:v>
                </c:pt>
                <c:pt idx="2">
                  <c:v>AFC South</c:v>
                </c:pt>
                <c:pt idx="3">
                  <c:v>AFC West</c:v>
                </c:pt>
                <c:pt idx="4">
                  <c:v>NFC East</c:v>
                </c:pt>
                <c:pt idx="5">
                  <c:v>NFC North</c:v>
                </c:pt>
                <c:pt idx="6">
                  <c:v>NFC South</c:v>
                </c:pt>
                <c:pt idx="7">
                  <c:v>NFC West</c:v>
                </c:pt>
              </c:strCache>
            </c:strRef>
          </c:cat>
          <c:val>
            <c:numRef>
              <c:f>Sheet4!$B$51:$B$59</c:f>
              <c:numCache>
                <c:formatCode>General</c:formatCode>
                <c:ptCount val="8"/>
                <c:pt idx="0">
                  <c:v>89.6</c:v>
                </c:pt>
                <c:pt idx="1">
                  <c:v>94.775000000000006</c:v>
                </c:pt>
                <c:pt idx="2">
                  <c:v>102.94999999999999</c:v>
                </c:pt>
                <c:pt idx="3">
                  <c:v>95.824999999999989</c:v>
                </c:pt>
                <c:pt idx="4">
                  <c:v>79.75</c:v>
                </c:pt>
                <c:pt idx="5">
                  <c:v>104.075</c:v>
                </c:pt>
                <c:pt idx="6">
                  <c:v>98.5</c:v>
                </c:pt>
                <c:pt idx="7">
                  <c:v>93.375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DA-4503-9676-6B7062FBE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4241407"/>
        <c:axId val="564235583"/>
      </c:radarChart>
      <c:catAx>
        <c:axId val="564241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35583"/>
        <c:crosses val="autoZero"/>
        <c:auto val="1"/>
        <c:lblAlgn val="ctr"/>
        <c:lblOffset val="100"/>
        <c:noMultiLvlLbl val="0"/>
      </c:catAx>
      <c:valAx>
        <c:axId val="564235583"/>
        <c:scaling>
          <c:orientation val="minMax"/>
          <c:max val="110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41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221071</xdr:colOff>
      <xdr:row>2</xdr:row>
      <xdr:rowOff>3174</xdr:rowOff>
    </xdr:from>
    <xdr:to>
      <xdr:col>26</xdr:col>
      <xdr:colOff>323044</xdr:colOff>
      <xdr:row>23</xdr:row>
      <xdr:rowOff>84044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D66A410-3FEC-4CFA-8267-F733A1127B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678334</xdr:colOff>
          <xdr:row>24</xdr:row>
          <xdr:rowOff>6724</xdr:rowOff>
        </xdr:from>
        <xdr:to>
          <xdr:col>21</xdr:col>
          <xdr:colOff>396319</xdr:colOff>
          <xdr:row>26</xdr:row>
          <xdr:rowOff>84045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Interceptions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183030</xdr:colOff>
          <xdr:row>24</xdr:row>
          <xdr:rowOff>3362</xdr:rowOff>
        </xdr:from>
        <xdr:to>
          <xdr:col>17</xdr:col>
          <xdr:colOff>671606</xdr:colOff>
          <xdr:row>26</xdr:row>
          <xdr:rowOff>80683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Sacks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269512</xdr:colOff>
      <xdr:row>27</xdr:row>
      <xdr:rowOff>133914</xdr:rowOff>
    </xdr:from>
    <xdr:to>
      <xdr:col>23</xdr:col>
      <xdr:colOff>251815</xdr:colOff>
      <xdr:row>52</xdr:row>
      <xdr:rowOff>15195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75CCA51-2F15-402C-A82A-7BFF8D5630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ustin Oakes" refreshedDate="44271.679925925928" createdVersion="6" refreshedVersion="6" minRefreshableVersion="3" recordCount="32" xr:uid="{F9DC1740-B754-46AC-9BED-7DF4A67BDF79}">
  <cacheSource type="worksheet">
    <worksheetSource ref="B1:S33" sheet="Sheet1"/>
  </cacheSource>
  <cacheFields count="18">
    <cacheField name="Player" numFmtId="0">
      <sharedItems count="32">
        <s v="Deshaun Watson"/>
        <s v="Patrick Mahomes"/>
        <s v="Tom Brady"/>
        <s v="Matt Ryan"/>
        <s v="Josh Allen"/>
        <s v="Justin Herbert"/>
        <s v="Aaron Rodgers"/>
        <s v="Kirk Cousins"/>
        <s v="Russell Wilson"/>
        <s v="Philip Rivers"/>
        <s v="Derek Carr"/>
        <s v="Matthew Stafford"/>
        <s v="Kyler Murray"/>
        <s v="Jared Goff"/>
        <s v="Ryan Tannehill"/>
        <s v="Ben Roethlisberger"/>
        <s v="Teddy Bridgewater"/>
        <s v="Baker Mayfield"/>
        <s v="Daniel Jones"/>
        <s v="Drew Brees"/>
        <s v="Drew Lock"/>
        <s v="Lamar Jackson"/>
        <s v="Joe Burrow"/>
        <s v="Cam Newton"/>
        <s v="Carson Wentz"/>
        <s v="Nick Mullens"/>
        <s v="Gardner Minshew"/>
        <s v="Sam Darnold"/>
        <s v="Andy Dalton"/>
        <s v="Ryan Fitzpatrick"/>
        <s v="Mitchell Trubisky"/>
        <s v="Alex Smith"/>
      </sharedItems>
    </cacheField>
    <cacheField name="Pass Yds" numFmtId="0">
      <sharedItems containsSemiMixedTypes="0" containsString="0" containsNumber="1" containsInteger="1" minValue="1582" maxValue="4823"/>
    </cacheField>
    <cacheField name="Yds/Att" numFmtId="0">
      <sharedItems containsSemiMixedTypes="0" containsString="0" containsNumber="1" minValue="6" maxValue="8.9"/>
    </cacheField>
    <cacheField name="Att" numFmtId="0">
      <sharedItems containsSemiMixedTypes="0" containsString="0" containsNumber="1" containsInteger="1" minValue="252" maxValue="626"/>
    </cacheField>
    <cacheField name="Cmp" numFmtId="0">
      <sharedItems containsSemiMixedTypes="0" containsString="0" containsNumber="1" containsInteger="1" minValue="168" maxValue="407"/>
    </cacheField>
    <cacheField name="Cmp %" numFmtId="0">
      <sharedItems containsSemiMixedTypes="0" containsString="0" containsNumber="1" minValue="0.57299999999999995" maxValue="0.70699999999999996"/>
    </cacheField>
    <cacheField name="TD" numFmtId="0">
      <sharedItems containsSemiMixedTypes="0" containsString="0" containsNumber="1" containsInteger="1" minValue="6" maxValue="48"/>
    </cacheField>
    <cacheField name="INT" numFmtId="0">
      <sharedItems containsSemiMixedTypes="0" containsString="0" containsNumber="1" containsInteger="1" minValue="5" maxValue="15"/>
    </cacheField>
    <cacheField name="Rate" numFmtId="0">
      <sharedItems containsSemiMixedTypes="0" containsString="0" containsNumber="1" minValue="72.7" maxValue="121.5"/>
    </cacheField>
    <cacheField name="1st" numFmtId="0">
      <sharedItems containsSemiMixedTypes="0" containsString="0" containsNumber="1" containsInteger="1" minValue="74" maxValue="242"/>
    </cacheField>
    <cacheField name="1st%" numFmtId="0">
      <sharedItems containsSemiMixedTypes="0" containsString="0" containsNumber="1" minValue="0.29399999999999998" maxValue="0.42"/>
    </cacheField>
    <cacheField name="20+" numFmtId="0">
      <sharedItems containsSemiMixedTypes="0" containsString="0" containsNumber="1" containsInteger="1" minValue="16" maxValue="69"/>
    </cacheField>
    <cacheField name="40+" numFmtId="0">
      <sharedItems containsSemiMixedTypes="0" containsString="0" containsNumber="1" containsInteger="1" minValue="1" maxValue="14"/>
    </cacheField>
    <cacheField name="Lng" numFmtId="0">
      <sharedItems containsSemiMixedTypes="0" containsString="0" containsNumber="1" containsInteger="1" minValue="47" maxValue="92"/>
    </cacheField>
    <cacheField name="Sck" numFmtId="0">
      <sharedItems containsSemiMixedTypes="0" containsString="0" containsNumber="1" containsInteger="1" minValue="13" maxValue="50"/>
    </cacheField>
    <cacheField name="SckY" numFmtId="0">
      <sharedItems containsSemiMixedTypes="0" containsString="0" containsNumber="1" containsInteger="1" minValue="65" maxValue="326"/>
    </cacheField>
    <cacheField name="Conf" numFmtId="0">
      <sharedItems count="2">
        <s v="AFC"/>
        <s v="NFC"/>
      </sharedItems>
    </cacheField>
    <cacheField name="Div" numFmtId="0">
      <sharedItems count="8">
        <s v="AFC South"/>
        <s v="AFC West"/>
        <s v="NFC South"/>
        <s v="AFC East"/>
        <s v="NFC North"/>
        <s v="NFC West"/>
        <s v="AFC North"/>
        <s v="NFC Eas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n v="4823"/>
    <n v="8.9"/>
    <n v="544"/>
    <n v="382"/>
    <n v="0.70199999999999996"/>
    <n v="33"/>
    <n v="7"/>
    <n v="112.4"/>
    <n v="221"/>
    <n v="0.40600000000000003"/>
    <n v="69"/>
    <n v="11"/>
    <n v="77"/>
    <n v="49"/>
    <n v="293"/>
    <x v="0"/>
    <x v="0"/>
  </r>
  <r>
    <x v="1"/>
    <n v="4740"/>
    <n v="8.1"/>
    <n v="588"/>
    <n v="390"/>
    <n v="0.66300000000000003"/>
    <n v="38"/>
    <n v="6"/>
    <n v="108.2"/>
    <n v="238"/>
    <n v="0.40500000000000003"/>
    <n v="67"/>
    <n v="8"/>
    <n v="75"/>
    <n v="22"/>
    <n v="147"/>
    <x v="0"/>
    <x v="1"/>
  </r>
  <r>
    <x v="2"/>
    <n v="4633"/>
    <n v="7.6"/>
    <n v="610"/>
    <n v="401"/>
    <n v="0.65700000000000003"/>
    <n v="40"/>
    <n v="12"/>
    <n v="102.2"/>
    <n v="233"/>
    <n v="0.38200000000000001"/>
    <n v="63"/>
    <n v="12"/>
    <n v="50"/>
    <n v="21"/>
    <n v="143"/>
    <x v="1"/>
    <x v="2"/>
  </r>
  <r>
    <x v="3"/>
    <n v="4581"/>
    <n v="7.3"/>
    <n v="626"/>
    <n v="407"/>
    <n v="0.65"/>
    <n v="26"/>
    <n v="11"/>
    <n v="93.3"/>
    <n v="242"/>
    <n v="0.38700000000000001"/>
    <n v="58"/>
    <n v="8"/>
    <n v="63"/>
    <n v="41"/>
    <n v="257"/>
    <x v="1"/>
    <x v="2"/>
  </r>
  <r>
    <x v="4"/>
    <n v="4544"/>
    <n v="7.9"/>
    <n v="572"/>
    <n v="396"/>
    <n v="0.69199999999999995"/>
    <n v="37"/>
    <n v="10"/>
    <n v="107.2"/>
    <n v="228"/>
    <n v="0.39900000000000002"/>
    <n v="62"/>
    <n v="8"/>
    <n v="55"/>
    <n v="26"/>
    <n v="159"/>
    <x v="0"/>
    <x v="3"/>
  </r>
  <r>
    <x v="5"/>
    <n v="4336"/>
    <n v="7.3"/>
    <n v="595"/>
    <n v="396"/>
    <n v="0.66600000000000004"/>
    <n v="31"/>
    <n v="10"/>
    <n v="98.3"/>
    <n v="216"/>
    <n v="0.36299999999999999"/>
    <n v="51"/>
    <n v="10"/>
    <n v="72"/>
    <n v="32"/>
    <n v="218"/>
    <x v="0"/>
    <x v="1"/>
  </r>
  <r>
    <x v="6"/>
    <n v="4299"/>
    <n v="8.1999999999999993"/>
    <n v="526"/>
    <n v="372"/>
    <n v="0.70699999999999996"/>
    <n v="48"/>
    <n v="5"/>
    <n v="121.5"/>
    <n v="216"/>
    <n v="0.41099999999999998"/>
    <n v="57"/>
    <n v="14"/>
    <n v="78"/>
    <n v="20"/>
    <n v="182"/>
    <x v="1"/>
    <x v="4"/>
  </r>
  <r>
    <x v="7"/>
    <n v="4265"/>
    <n v="8.3000000000000007"/>
    <n v="516"/>
    <n v="349"/>
    <n v="0.67600000000000005"/>
    <n v="35"/>
    <n v="13"/>
    <n v="105"/>
    <n v="212"/>
    <n v="0.41099999999999998"/>
    <n v="58"/>
    <n v="7"/>
    <n v="71"/>
    <n v="39"/>
    <n v="256"/>
    <x v="1"/>
    <x v="4"/>
  </r>
  <r>
    <x v="8"/>
    <n v="4212"/>
    <n v="7.5"/>
    <n v="558"/>
    <n v="384"/>
    <n v="0.68799999999999994"/>
    <n v="40"/>
    <n v="13"/>
    <n v="105.1"/>
    <n v="213"/>
    <n v="0.38200000000000001"/>
    <n v="45"/>
    <n v="11"/>
    <n v="62"/>
    <n v="47"/>
    <n v="301"/>
    <x v="1"/>
    <x v="5"/>
  </r>
  <r>
    <x v="9"/>
    <n v="4169"/>
    <n v="7.7"/>
    <n v="543"/>
    <n v="369"/>
    <n v="0.68"/>
    <n v="24"/>
    <n v="11"/>
    <n v="97"/>
    <n v="200"/>
    <n v="0.36799999999999999"/>
    <n v="56"/>
    <n v="8"/>
    <n v="55"/>
    <n v="19"/>
    <n v="118"/>
    <x v="0"/>
    <x v="0"/>
  </r>
  <r>
    <x v="10"/>
    <n v="4103"/>
    <n v="7.9"/>
    <n v="517"/>
    <n v="348"/>
    <n v="0.67300000000000004"/>
    <n v="27"/>
    <n v="9"/>
    <n v="101.4"/>
    <n v="193"/>
    <n v="0.373"/>
    <n v="54"/>
    <n v="12"/>
    <n v="85"/>
    <n v="26"/>
    <n v="150"/>
    <x v="0"/>
    <x v="1"/>
  </r>
  <r>
    <x v="11"/>
    <n v="4084"/>
    <n v="7.7"/>
    <n v="528"/>
    <n v="339"/>
    <n v="0.64200000000000002"/>
    <n v="26"/>
    <n v="10"/>
    <n v="96.3"/>
    <n v="205"/>
    <n v="0.38800000000000001"/>
    <n v="54"/>
    <n v="8"/>
    <n v="73"/>
    <n v="38"/>
    <n v="254"/>
    <x v="1"/>
    <x v="4"/>
  </r>
  <r>
    <x v="12"/>
    <n v="3971"/>
    <n v="7.1"/>
    <n v="558"/>
    <n v="375"/>
    <n v="0.67200000000000004"/>
    <n v="26"/>
    <n v="12"/>
    <n v="94.3"/>
    <n v="205"/>
    <n v="0.36699999999999999"/>
    <n v="44"/>
    <n v="14"/>
    <n v="80"/>
    <n v="27"/>
    <n v="176"/>
    <x v="1"/>
    <x v="5"/>
  </r>
  <r>
    <x v="13"/>
    <n v="3952"/>
    <n v="7.2"/>
    <n v="552"/>
    <n v="370"/>
    <n v="0.67"/>
    <n v="20"/>
    <n v="13"/>
    <n v="90"/>
    <n v="194"/>
    <n v="0.35099999999999998"/>
    <n v="47"/>
    <n v="6"/>
    <n v="56"/>
    <n v="23"/>
    <n v="161"/>
    <x v="1"/>
    <x v="5"/>
  </r>
  <r>
    <x v="14"/>
    <n v="3819"/>
    <n v="7.9"/>
    <n v="481"/>
    <n v="315"/>
    <n v="0.65500000000000003"/>
    <n v="33"/>
    <n v="7"/>
    <n v="106.5"/>
    <n v="202"/>
    <n v="0.42"/>
    <n v="44"/>
    <n v="13"/>
    <n v="75"/>
    <n v="24"/>
    <n v="173"/>
    <x v="0"/>
    <x v="0"/>
  </r>
  <r>
    <x v="15"/>
    <n v="3803"/>
    <n v="6.3"/>
    <n v="608"/>
    <n v="399"/>
    <n v="0.65600000000000003"/>
    <n v="33"/>
    <n v="10"/>
    <n v="94.1"/>
    <n v="193"/>
    <n v="0.317"/>
    <n v="43"/>
    <n v="4"/>
    <n v="84"/>
    <n v="13"/>
    <n v="118"/>
    <x v="0"/>
    <x v="6"/>
  </r>
  <r>
    <x v="16"/>
    <n v="3733"/>
    <n v="7.6"/>
    <n v="492"/>
    <n v="340"/>
    <n v="0.69099999999999995"/>
    <n v="15"/>
    <n v="11"/>
    <n v="92.1"/>
    <n v="174"/>
    <n v="0.35399999999999998"/>
    <n v="49"/>
    <n v="8"/>
    <n v="75"/>
    <n v="31"/>
    <n v="205"/>
    <x v="1"/>
    <x v="2"/>
  </r>
  <r>
    <x v="17"/>
    <n v="3563"/>
    <n v="7.3"/>
    <n v="486"/>
    <n v="305"/>
    <n v="0.628"/>
    <n v="26"/>
    <n v="8"/>
    <n v="95.9"/>
    <n v="188"/>
    <n v="0.38700000000000001"/>
    <n v="43"/>
    <n v="5"/>
    <n v="75"/>
    <n v="26"/>
    <n v="162"/>
    <x v="0"/>
    <x v="6"/>
  </r>
  <r>
    <x v="18"/>
    <n v="2943"/>
    <n v="6.6"/>
    <n v="448"/>
    <n v="280"/>
    <n v="0.625"/>
    <n v="11"/>
    <n v="10"/>
    <n v="80.400000000000006"/>
    <n v="158"/>
    <n v="0.35299999999999998"/>
    <n v="31"/>
    <n v="5"/>
    <n v="53"/>
    <n v="45"/>
    <n v="286"/>
    <x v="1"/>
    <x v="7"/>
  </r>
  <r>
    <x v="19"/>
    <n v="2942"/>
    <n v="7.5"/>
    <n v="390"/>
    <n v="275"/>
    <n v="0.70499999999999996"/>
    <n v="24"/>
    <n v="6"/>
    <n v="106.4"/>
    <n v="149"/>
    <n v="0.38200000000000001"/>
    <n v="31"/>
    <n v="8"/>
    <n v="52"/>
    <n v="13"/>
    <n v="89"/>
    <x v="1"/>
    <x v="2"/>
  </r>
  <r>
    <x v="20"/>
    <n v="2933"/>
    <n v="6.6"/>
    <n v="443"/>
    <n v="254"/>
    <n v="0.57299999999999995"/>
    <n v="16"/>
    <n v="15"/>
    <n v="75.400000000000006"/>
    <n v="145"/>
    <n v="0.32700000000000001"/>
    <n v="38"/>
    <n v="8"/>
    <n v="92"/>
    <n v="19"/>
    <n v="123"/>
    <x v="0"/>
    <x v="1"/>
  </r>
  <r>
    <x v="21"/>
    <n v="2757"/>
    <n v="7.3"/>
    <n v="376"/>
    <n v="242"/>
    <n v="0.64400000000000002"/>
    <n v="26"/>
    <n v="9"/>
    <n v="99.3"/>
    <n v="138"/>
    <n v="0.36699999999999999"/>
    <n v="37"/>
    <n v="4"/>
    <n v="47"/>
    <n v="29"/>
    <n v="160"/>
    <x v="0"/>
    <x v="6"/>
  </r>
  <r>
    <x v="22"/>
    <n v="2688"/>
    <n v="6.7"/>
    <n v="404"/>
    <n v="264"/>
    <n v="0.65300000000000002"/>
    <n v="13"/>
    <n v="5"/>
    <n v="89.8"/>
    <n v="150"/>
    <n v="0.371"/>
    <n v="23"/>
    <n v="3"/>
    <n v="67"/>
    <n v="32"/>
    <n v="231"/>
    <x v="0"/>
    <x v="6"/>
  </r>
  <r>
    <x v="23"/>
    <n v="2657"/>
    <n v="7.2"/>
    <n v="368"/>
    <n v="242"/>
    <n v="0.65800000000000003"/>
    <n v="8"/>
    <n v="10"/>
    <n v="82.9"/>
    <n v="133"/>
    <n v="0.36099999999999999"/>
    <n v="31"/>
    <n v="3"/>
    <n v="50"/>
    <n v="31"/>
    <n v="195"/>
    <x v="0"/>
    <x v="3"/>
  </r>
  <r>
    <x v="24"/>
    <n v="2620"/>
    <n v="6"/>
    <n v="437"/>
    <n v="251"/>
    <n v="0.57399999999999995"/>
    <n v="16"/>
    <n v="15"/>
    <n v="72.8"/>
    <n v="130"/>
    <n v="0.29699999999999999"/>
    <n v="27"/>
    <n v="6"/>
    <n v="59"/>
    <n v="50"/>
    <n v="326"/>
    <x v="1"/>
    <x v="7"/>
  </r>
  <r>
    <x v="25"/>
    <n v="2437"/>
    <n v="7.5"/>
    <n v="326"/>
    <n v="211"/>
    <n v="0.64700000000000002"/>
    <n v="12"/>
    <n v="12"/>
    <n v="84.1"/>
    <n v="120"/>
    <n v="0.36799999999999999"/>
    <n v="33"/>
    <n v="4"/>
    <n v="49"/>
    <n v="19"/>
    <n v="139"/>
    <x v="1"/>
    <x v="5"/>
  </r>
  <r>
    <x v="26"/>
    <n v="2259"/>
    <n v="6.9"/>
    <n v="327"/>
    <n v="216"/>
    <n v="0.66100000000000003"/>
    <n v="16"/>
    <n v="5"/>
    <n v="95.9"/>
    <n v="117"/>
    <n v="0.35799999999999998"/>
    <n v="27"/>
    <n v="3"/>
    <n v="51"/>
    <n v="27"/>
    <n v="147"/>
    <x v="0"/>
    <x v="0"/>
  </r>
  <r>
    <x v="27"/>
    <n v="2208"/>
    <n v="6.1"/>
    <n v="364"/>
    <n v="217"/>
    <n v="0.59599999999999997"/>
    <n v="9"/>
    <n v="11"/>
    <n v="72.7"/>
    <n v="109"/>
    <n v="0.29899999999999999"/>
    <n v="27"/>
    <n v="2"/>
    <n v="69"/>
    <n v="35"/>
    <n v="234"/>
    <x v="0"/>
    <x v="3"/>
  </r>
  <r>
    <x v="28"/>
    <n v="2170"/>
    <n v="6.5"/>
    <n v="333"/>
    <n v="216"/>
    <n v="0.64900000000000002"/>
    <n v="14"/>
    <n v="8"/>
    <n v="87.3"/>
    <n v="116"/>
    <n v="0.34799999999999998"/>
    <n v="20"/>
    <n v="5"/>
    <n v="69"/>
    <n v="24"/>
    <n v="184"/>
    <x v="1"/>
    <x v="7"/>
  </r>
  <r>
    <x v="29"/>
    <n v="2091"/>
    <n v="7.8"/>
    <n v="267"/>
    <n v="183"/>
    <n v="0.68500000000000005"/>
    <n v="13"/>
    <n v="8"/>
    <n v="95.6"/>
    <n v="106"/>
    <n v="0.39700000000000002"/>
    <n v="24"/>
    <n v="4"/>
    <n v="70"/>
    <n v="14"/>
    <n v="65"/>
    <x v="0"/>
    <x v="3"/>
  </r>
  <r>
    <x v="30"/>
    <n v="2055"/>
    <n v="6.9"/>
    <n v="297"/>
    <n v="199"/>
    <n v="0.67"/>
    <n v="16"/>
    <n v="8"/>
    <n v="93.5"/>
    <n v="124"/>
    <n v="0.41799999999999998"/>
    <n v="18"/>
    <n v="1"/>
    <n v="53"/>
    <n v="18"/>
    <n v="125"/>
    <x v="1"/>
    <x v="4"/>
  </r>
  <r>
    <x v="31"/>
    <n v="1582"/>
    <n v="6.3"/>
    <n v="252"/>
    <n v="168"/>
    <n v="0.66700000000000004"/>
    <n v="6"/>
    <n v="8"/>
    <n v="78.5"/>
    <n v="74"/>
    <n v="0.29399999999999998"/>
    <n v="16"/>
    <n v="3"/>
    <n v="68"/>
    <n v="22"/>
    <n v="139"/>
    <x v="1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DD80A2-8E16-49DF-BA68-1023234AC623}" name="PivotTable3" cacheId="4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C46" firstHeaderRow="0" firstDataRow="1" firstDataCol="1"/>
  <pivotFields count="18">
    <pivotField axis="axisRow" showAll="0" defaultSubtotal="0">
      <items count="32">
        <item x="6"/>
        <item x="17"/>
        <item x="15"/>
        <item x="23"/>
        <item x="24"/>
        <item x="18"/>
        <item x="10"/>
        <item x="0"/>
        <item x="19"/>
        <item x="20"/>
        <item x="13"/>
        <item x="22"/>
        <item x="4"/>
        <item x="5"/>
        <item x="7"/>
        <item x="12"/>
        <item x="21"/>
        <item x="3"/>
        <item x="11"/>
        <item x="1"/>
        <item x="9"/>
        <item x="8"/>
        <item x="14"/>
        <item x="16"/>
        <item x="2"/>
        <item x="25"/>
        <item x="26"/>
        <item x="27"/>
        <item x="28"/>
        <item x="29"/>
        <item x="30"/>
        <item x="31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axis="axisRow" showAll="0" defaultSubtotal="0">
      <items count="2">
        <item x="0"/>
        <item x="1"/>
      </items>
    </pivotField>
    <pivotField axis="axisRow" showAll="0" defaultSubtotal="0">
      <items count="8">
        <item x="3"/>
        <item x="6"/>
        <item x="0"/>
        <item x="1"/>
        <item x="7"/>
        <item x="4"/>
        <item x="2"/>
        <item x="5"/>
      </items>
    </pivotField>
  </pivotFields>
  <rowFields count="3">
    <field x="16"/>
    <field x="17"/>
    <field x="0"/>
  </rowFields>
  <rowItems count="43">
    <i>
      <x/>
    </i>
    <i r="1">
      <x/>
    </i>
    <i r="2">
      <x v="3"/>
    </i>
    <i r="2">
      <x v="12"/>
    </i>
    <i r="2">
      <x v="27"/>
    </i>
    <i r="2">
      <x v="29"/>
    </i>
    <i r="1">
      <x v="1"/>
    </i>
    <i r="2">
      <x v="1"/>
    </i>
    <i r="2">
      <x v="2"/>
    </i>
    <i r="2">
      <x v="11"/>
    </i>
    <i r="2">
      <x v="16"/>
    </i>
    <i r="1">
      <x v="2"/>
    </i>
    <i r="2">
      <x v="7"/>
    </i>
    <i r="2">
      <x v="20"/>
    </i>
    <i r="2">
      <x v="22"/>
    </i>
    <i r="2">
      <x v="26"/>
    </i>
    <i r="1">
      <x v="3"/>
    </i>
    <i r="2">
      <x v="6"/>
    </i>
    <i r="2">
      <x v="9"/>
    </i>
    <i r="2">
      <x v="13"/>
    </i>
    <i r="2">
      <x v="19"/>
    </i>
    <i>
      <x v="1"/>
    </i>
    <i r="1">
      <x v="4"/>
    </i>
    <i r="2">
      <x v="4"/>
    </i>
    <i r="2">
      <x v="5"/>
    </i>
    <i r="2">
      <x v="28"/>
    </i>
    <i r="2">
      <x v="31"/>
    </i>
    <i r="1">
      <x v="5"/>
    </i>
    <i r="2">
      <x/>
    </i>
    <i r="2">
      <x v="14"/>
    </i>
    <i r="2">
      <x v="18"/>
    </i>
    <i r="2">
      <x v="30"/>
    </i>
    <i r="1">
      <x v="6"/>
    </i>
    <i r="2">
      <x v="8"/>
    </i>
    <i r="2">
      <x v="17"/>
    </i>
    <i r="2">
      <x v="23"/>
    </i>
    <i r="2">
      <x v="24"/>
    </i>
    <i r="1">
      <x v="7"/>
    </i>
    <i r="2">
      <x v="10"/>
    </i>
    <i r="2">
      <x v="15"/>
    </i>
    <i r="2">
      <x v="21"/>
    </i>
    <i r="2">
      <x v="2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D" fld="6" baseField="0" baseItem="0"/>
    <dataField name="Sum of Sck" fld="14" baseField="0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0404F-5EF4-45C8-B300-E42C8C315D93}" name="PivotTable8" cacheId="4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50:B59" firstHeaderRow="1" firstDataRow="1" firstDataCol="1" rowPageCount="1" colPageCount="1"/>
  <pivotFields count="18">
    <pivotField axis="axisRow" showAll="0">
      <items count="33">
        <item x="6"/>
        <item x="31"/>
        <item x="28"/>
        <item x="17"/>
        <item x="15"/>
        <item x="23"/>
        <item x="24"/>
        <item x="18"/>
        <item x="10"/>
        <item x="0"/>
        <item x="19"/>
        <item x="20"/>
        <item x="26"/>
        <item x="13"/>
        <item x="22"/>
        <item x="4"/>
        <item x="5"/>
        <item x="7"/>
        <item x="12"/>
        <item x="21"/>
        <item x="3"/>
        <item x="11"/>
        <item x="30"/>
        <item x="25"/>
        <item x="1"/>
        <item x="9"/>
        <item x="8"/>
        <item x="29"/>
        <item x="14"/>
        <item x="27"/>
        <item x="16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axis="axisRow" showAll="0">
      <items count="9">
        <item sd="0" x="3"/>
        <item sd="0" x="6"/>
        <item sd="0" x="0"/>
        <item sd="0" x="1"/>
        <item sd="0" x="7"/>
        <item sd="0" x="4"/>
        <item sd="0" x="2"/>
        <item sd="0" x="5"/>
        <item t="default"/>
      </items>
    </pivotField>
  </pivotFields>
  <rowFields count="2">
    <field x="17"/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16" hier="-1"/>
  </pageFields>
  <dataFields count="1">
    <dataField name="Average of Rate" fld="8" subtotal="average" baseField="17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678FD-9DC5-4A3E-9F7C-E8AF07E7F388}">
  <dimension ref="A1:S33"/>
  <sheetViews>
    <sheetView topLeftCell="B1" workbookViewId="0">
      <selection sqref="A1:S33"/>
    </sheetView>
  </sheetViews>
  <sheetFormatPr defaultRowHeight="14.5" x14ac:dyDescent="0.35"/>
  <sheetData>
    <row r="1" spans="1:19" x14ac:dyDescent="0.3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46</v>
      </c>
      <c r="N1" t="s">
        <v>47</v>
      </c>
      <c r="O1" t="s">
        <v>11</v>
      </c>
      <c r="P1" t="s">
        <v>12</v>
      </c>
      <c r="Q1" t="s">
        <v>13</v>
      </c>
      <c r="R1" t="s">
        <v>42</v>
      </c>
      <c r="S1" t="s">
        <v>48</v>
      </c>
    </row>
    <row r="2" spans="1:19" x14ac:dyDescent="0.35">
      <c r="A2">
        <v>0</v>
      </c>
      <c r="B2" t="s">
        <v>14</v>
      </c>
      <c r="C2">
        <v>4823</v>
      </c>
      <c r="D2">
        <v>8.9</v>
      </c>
      <c r="E2">
        <v>544</v>
      </c>
      <c r="F2">
        <v>382</v>
      </c>
      <c r="G2">
        <v>0.70199999999999996</v>
      </c>
      <c r="H2">
        <v>33</v>
      </c>
      <c r="I2">
        <v>7</v>
      </c>
      <c r="J2">
        <v>112.4</v>
      </c>
      <c r="K2">
        <v>221</v>
      </c>
      <c r="L2">
        <v>0.40600000000000003</v>
      </c>
      <c r="M2">
        <v>69</v>
      </c>
      <c r="N2">
        <v>11</v>
      </c>
      <c r="O2">
        <v>77</v>
      </c>
      <c r="P2">
        <v>49</v>
      </c>
      <c r="Q2">
        <v>293</v>
      </c>
      <c r="R2" t="s">
        <v>43</v>
      </c>
      <c r="S2" t="s">
        <v>49</v>
      </c>
    </row>
    <row r="3" spans="1:19" x14ac:dyDescent="0.35">
      <c r="A3">
        <v>1</v>
      </c>
      <c r="B3" t="s">
        <v>15</v>
      </c>
      <c r="C3">
        <v>4740</v>
      </c>
      <c r="D3">
        <v>8.1</v>
      </c>
      <c r="E3">
        <v>588</v>
      </c>
      <c r="F3">
        <v>390</v>
      </c>
      <c r="G3">
        <v>0.66300000000000003</v>
      </c>
      <c r="H3">
        <v>38</v>
      </c>
      <c r="I3">
        <v>6</v>
      </c>
      <c r="J3">
        <v>108.2</v>
      </c>
      <c r="K3">
        <v>238</v>
      </c>
      <c r="L3">
        <v>0.40500000000000003</v>
      </c>
      <c r="M3">
        <v>67</v>
      </c>
      <c r="N3">
        <v>8</v>
      </c>
      <c r="O3">
        <v>75</v>
      </c>
      <c r="P3">
        <v>22</v>
      </c>
      <c r="Q3">
        <v>147</v>
      </c>
      <c r="R3" t="s">
        <v>43</v>
      </c>
      <c r="S3" t="s">
        <v>50</v>
      </c>
    </row>
    <row r="4" spans="1:19" x14ac:dyDescent="0.35">
      <c r="A4">
        <v>2</v>
      </c>
      <c r="B4" t="s">
        <v>16</v>
      </c>
      <c r="C4">
        <v>4633</v>
      </c>
      <c r="D4">
        <v>7.6</v>
      </c>
      <c r="E4">
        <v>610</v>
      </c>
      <c r="F4">
        <v>401</v>
      </c>
      <c r="G4">
        <v>0.65700000000000003</v>
      </c>
      <c r="H4">
        <v>40</v>
      </c>
      <c r="I4">
        <v>12</v>
      </c>
      <c r="J4">
        <v>102.2</v>
      </c>
      <c r="K4">
        <v>233</v>
      </c>
      <c r="L4">
        <v>0.38200000000000001</v>
      </c>
      <c r="M4">
        <v>63</v>
      </c>
      <c r="N4">
        <v>12</v>
      </c>
      <c r="O4">
        <v>50</v>
      </c>
      <c r="P4">
        <v>21</v>
      </c>
      <c r="Q4">
        <v>143</v>
      </c>
      <c r="R4" t="s">
        <v>44</v>
      </c>
      <c r="S4" t="s">
        <v>51</v>
      </c>
    </row>
    <row r="5" spans="1:19" x14ac:dyDescent="0.35">
      <c r="A5">
        <v>3</v>
      </c>
      <c r="B5" t="s">
        <v>17</v>
      </c>
      <c r="C5">
        <v>4581</v>
      </c>
      <c r="D5">
        <v>7.3</v>
      </c>
      <c r="E5">
        <v>626</v>
      </c>
      <c r="F5">
        <v>407</v>
      </c>
      <c r="G5">
        <v>0.65</v>
      </c>
      <c r="H5">
        <v>26</v>
      </c>
      <c r="I5">
        <v>11</v>
      </c>
      <c r="J5">
        <v>93.3</v>
      </c>
      <c r="K5">
        <v>242</v>
      </c>
      <c r="L5">
        <v>0.38700000000000001</v>
      </c>
      <c r="M5">
        <v>58</v>
      </c>
      <c r="N5">
        <v>8</v>
      </c>
      <c r="O5">
        <v>63</v>
      </c>
      <c r="P5">
        <v>41</v>
      </c>
      <c r="Q5">
        <v>257</v>
      </c>
      <c r="R5" t="s">
        <v>44</v>
      </c>
      <c r="S5" t="s">
        <v>51</v>
      </c>
    </row>
    <row r="6" spans="1:19" x14ac:dyDescent="0.35">
      <c r="A6">
        <v>4</v>
      </c>
      <c r="B6" t="s">
        <v>18</v>
      </c>
      <c r="C6">
        <v>4544</v>
      </c>
      <c r="D6">
        <v>7.9</v>
      </c>
      <c r="E6">
        <v>572</v>
      </c>
      <c r="F6">
        <v>396</v>
      </c>
      <c r="G6">
        <v>0.69199999999999995</v>
      </c>
      <c r="H6">
        <v>37</v>
      </c>
      <c r="I6">
        <v>10</v>
      </c>
      <c r="J6">
        <v>107.2</v>
      </c>
      <c r="K6">
        <v>228</v>
      </c>
      <c r="L6">
        <v>0.39900000000000002</v>
      </c>
      <c r="M6">
        <v>62</v>
      </c>
      <c r="N6">
        <v>8</v>
      </c>
      <c r="O6">
        <v>55</v>
      </c>
      <c r="P6">
        <v>26</v>
      </c>
      <c r="Q6">
        <v>159</v>
      </c>
      <c r="R6" t="s">
        <v>43</v>
      </c>
      <c r="S6" t="s">
        <v>52</v>
      </c>
    </row>
    <row r="7" spans="1:19" x14ac:dyDescent="0.35">
      <c r="A7">
        <v>5</v>
      </c>
      <c r="B7" t="s">
        <v>19</v>
      </c>
      <c r="C7">
        <v>4336</v>
      </c>
      <c r="D7">
        <v>7.3</v>
      </c>
      <c r="E7">
        <v>595</v>
      </c>
      <c r="F7">
        <v>396</v>
      </c>
      <c r="G7">
        <v>0.66600000000000004</v>
      </c>
      <c r="H7">
        <v>31</v>
      </c>
      <c r="I7">
        <v>10</v>
      </c>
      <c r="J7">
        <v>98.3</v>
      </c>
      <c r="K7">
        <v>216</v>
      </c>
      <c r="L7">
        <v>0.36299999999999999</v>
      </c>
      <c r="M7">
        <v>51</v>
      </c>
      <c r="N7">
        <v>10</v>
      </c>
      <c r="O7">
        <v>72</v>
      </c>
      <c r="P7">
        <v>32</v>
      </c>
      <c r="Q7">
        <v>218</v>
      </c>
      <c r="R7" t="s">
        <v>43</v>
      </c>
      <c r="S7" t="s">
        <v>50</v>
      </c>
    </row>
    <row r="8" spans="1:19" x14ac:dyDescent="0.35">
      <c r="A8">
        <v>6</v>
      </c>
      <c r="B8" t="s">
        <v>20</v>
      </c>
      <c r="C8">
        <v>4299</v>
      </c>
      <c r="D8">
        <v>8.1999999999999993</v>
      </c>
      <c r="E8">
        <v>526</v>
      </c>
      <c r="F8">
        <v>372</v>
      </c>
      <c r="G8">
        <v>0.70699999999999996</v>
      </c>
      <c r="H8">
        <v>48</v>
      </c>
      <c r="I8">
        <v>5</v>
      </c>
      <c r="J8">
        <v>121.5</v>
      </c>
      <c r="K8">
        <v>216</v>
      </c>
      <c r="L8">
        <v>0.41099999999999998</v>
      </c>
      <c r="M8">
        <v>57</v>
      </c>
      <c r="N8">
        <v>14</v>
      </c>
      <c r="O8">
        <v>78</v>
      </c>
      <c r="P8">
        <v>20</v>
      </c>
      <c r="Q8">
        <v>182</v>
      </c>
      <c r="R8" t="s">
        <v>44</v>
      </c>
      <c r="S8" t="s">
        <v>53</v>
      </c>
    </row>
    <row r="9" spans="1:19" x14ac:dyDescent="0.35">
      <c r="A9">
        <v>7</v>
      </c>
      <c r="B9" t="s">
        <v>21</v>
      </c>
      <c r="C9">
        <v>4265</v>
      </c>
      <c r="D9">
        <v>8.3000000000000007</v>
      </c>
      <c r="E9">
        <v>516</v>
      </c>
      <c r="F9">
        <v>349</v>
      </c>
      <c r="G9">
        <v>0.67600000000000005</v>
      </c>
      <c r="H9">
        <v>35</v>
      </c>
      <c r="I9">
        <v>13</v>
      </c>
      <c r="J9">
        <v>105</v>
      </c>
      <c r="K9">
        <v>212</v>
      </c>
      <c r="L9">
        <v>0.41099999999999998</v>
      </c>
      <c r="M9">
        <v>58</v>
      </c>
      <c r="N9">
        <v>7</v>
      </c>
      <c r="O9">
        <v>71</v>
      </c>
      <c r="P9">
        <v>39</v>
      </c>
      <c r="Q9">
        <v>256</v>
      </c>
      <c r="R9" t="s">
        <v>44</v>
      </c>
      <c r="S9" t="s">
        <v>53</v>
      </c>
    </row>
    <row r="10" spans="1:19" x14ac:dyDescent="0.35">
      <c r="A10">
        <v>8</v>
      </c>
      <c r="B10" t="s">
        <v>22</v>
      </c>
      <c r="C10">
        <v>4212</v>
      </c>
      <c r="D10">
        <v>7.5</v>
      </c>
      <c r="E10">
        <v>558</v>
      </c>
      <c r="F10">
        <v>384</v>
      </c>
      <c r="G10">
        <v>0.68799999999999994</v>
      </c>
      <c r="H10">
        <v>40</v>
      </c>
      <c r="I10">
        <v>13</v>
      </c>
      <c r="J10">
        <v>105.1</v>
      </c>
      <c r="K10">
        <v>213</v>
      </c>
      <c r="L10">
        <v>0.38200000000000001</v>
      </c>
      <c r="M10">
        <v>45</v>
      </c>
      <c r="N10">
        <v>11</v>
      </c>
      <c r="O10">
        <v>62</v>
      </c>
      <c r="P10">
        <v>47</v>
      </c>
      <c r="Q10">
        <v>301</v>
      </c>
      <c r="R10" t="s">
        <v>44</v>
      </c>
      <c r="S10" t="s">
        <v>54</v>
      </c>
    </row>
    <row r="11" spans="1:19" x14ac:dyDescent="0.35">
      <c r="A11">
        <v>9</v>
      </c>
      <c r="B11" t="s">
        <v>23</v>
      </c>
      <c r="C11">
        <v>4169</v>
      </c>
      <c r="D11">
        <v>7.7</v>
      </c>
      <c r="E11">
        <v>543</v>
      </c>
      <c r="F11">
        <v>369</v>
      </c>
      <c r="G11">
        <v>0.68</v>
      </c>
      <c r="H11">
        <v>24</v>
      </c>
      <c r="I11">
        <v>11</v>
      </c>
      <c r="J11">
        <v>97</v>
      </c>
      <c r="K11">
        <v>200</v>
      </c>
      <c r="L11">
        <v>0.36799999999999999</v>
      </c>
      <c r="M11">
        <v>56</v>
      </c>
      <c r="N11">
        <v>8</v>
      </c>
      <c r="O11">
        <v>55</v>
      </c>
      <c r="P11">
        <v>19</v>
      </c>
      <c r="Q11">
        <v>118</v>
      </c>
      <c r="R11" t="s">
        <v>43</v>
      </c>
      <c r="S11" t="s">
        <v>49</v>
      </c>
    </row>
    <row r="12" spans="1:19" x14ac:dyDescent="0.35">
      <c r="A12">
        <v>10</v>
      </c>
      <c r="B12" t="s">
        <v>24</v>
      </c>
      <c r="C12">
        <v>4103</v>
      </c>
      <c r="D12">
        <v>7.9</v>
      </c>
      <c r="E12">
        <v>517</v>
      </c>
      <c r="F12">
        <v>348</v>
      </c>
      <c r="G12">
        <v>0.67300000000000004</v>
      </c>
      <c r="H12">
        <v>27</v>
      </c>
      <c r="I12">
        <v>9</v>
      </c>
      <c r="J12">
        <v>101.4</v>
      </c>
      <c r="K12">
        <v>193</v>
      </c>
      <c r="L12">
        <v>0.373</v>
      </c>
      <c r="M12">
        <v>54</v>
      </c>
      <c r="N12">
        <v>12</v>
      </c>
      <c r="O12">
        <v>85</v>
      </c>
      <c r="P12">
        <v>26</v>
      </c>
      <c r="Q12">
        <v>150</v>
      </c>
      <c r="R12" t="s">
        <v>43</v>
      </c>
      <c r="S12" t="s">
        <v>50</v>
      </c>
    </row>
    <row r="13" spans="1:19" x14ac:dyDescent="0.35">
      <c r="A13">
        <v>11</v>
      </c>
      <c r="B13" t="s">
        <v>25</v>
      </c>
      <c r="C13">
        <v>4084</v>
      </c>
      <c r="D13">
        <v>7.7</v>
      </c>
      <c r="E13">
        <v>528</v>
      </c>
      <c r="F13">
        <v>339</v>
      </c>
      <c r="G13">
        <v>0.64200000000000002</v>
      </c>
      <c r="H13">
        <v>26</v>
      </c>
      <c r="I13">
        <v>10</v>
      </c>
      <c r="J13">
        <v>96.3</v>
      </c>
      <c r="K13">
        <v>205</v>
      </c>
      <c r="L13">
        <v>0.38800000000000001</v>
      </c>
      <c r="M13">
        <v>54</v>
      </c>
      <c r="N13">
        <v>8</v>
      </c>
      <c r="O13">
        <v>73</v>
      </c>
      <c r="P13">
        <v>38</v>
      </c>
      <c r="Q13">
        <v>254</v>
      </c>
      <c r="R13" t="s">
        <v>44</v>
      </c>
      <c r="S13" t="s">
        <v>53</v>
      </c>
    </row>
    <row r="14" spans="1:19" x14ac:dyDescent="0.35">
      <c r="A14">
        <v>12</v>
      </c>
      <c r="B14" t="s">
        <v>26</v>
      </c>
      <c r="C14">
        <v>3971</v>
      </c>
      <c r="D14">
        <v>7.1</v>
      </c>
      <c r="E14">
        <v>558</v>
      </c>
      <c r="F14">
        <v>375</v>
      </c>
      <c r="G14">
        <v>0.67200000000000004</v>
      </c>
      <c r="H14">
        <v>26</v>
      </c>
      <c r="I14">
        <v>12</v>
      </c>
      <c r="J14">
        <v>94.3</v>
      </c>
      <c r="K14">
        <v>205</v>
      </c>
      <c r="L14">
        <v>0.36699999999999999</v>
      </c>
      <c r="M14">
        <v>44</v>
      </c>
      <c r="N14">
        <v>14</v>
      </c>
      <c r="O14">
        <v>80</v>
      </c>
      <c r="P14">
        <v>27</v>
      </c>
      <c r="Q14">
        <v>176</v>
      </c>
      <c r="R14" t="s">
        <v>44</v>
      </c>
      <c r="S14" t="s">
        <v>54</v>
      </c>
    </row>
    <row r="15" spans="1:19" x14ac:dyDescent="0.35">
      <c r="A15">
        <v>13</v>
      </c>
      <c r="B15" t="s">
        <v>27</v>
      </c>
      <c r="C15">
        <v>3952</v>
      </c>
      <c r="D15">
        <v>7.2</v>
      </c>
      <c r="E15">
        <v>552</v>
      </c>
      <c r="F15">
        <v>370</v>
      </c>
      <c r="G15">
        <v>0.67</v>
      </c>
      <c r="H15">
        <v>20</v>
      </c>
      <c r="I15">
        <v>13</v>
      </c>
      <c r="J15">
        <v>90</v>
      </c>
      <c r="K15">
        <v>194</v>
      </c>
      <c r="L15">
        <v>0.35099999999999998</v>
      </c>
      <c r="M15">
        <v>47</v>
      </c>
      <c r="N15">
        <v>6</v>
      </c>
      <c r="O15">
        <v>56</v>
      </c>
      <c r="P15">
        <v>23</v>
      </c>
      <c r="Q15">
        <v>161</v>
      </c>
      <c r="R15" t="s">
        <v>44</v>
      </c>
      <c r="S15" t="s">
        <v>54</v>
      </c>
    </row>
    <row r="16" spans="1:19" x14ac:dyDescent="0.35">
      <c r="A16">
        <v>14</v>
      </c>
      <c r="B16" t="s">
        <v>28</v>
      </c>
      <c r="C16">
        <v>3819</v>
      </c>
      <c r="D16">
        <v>7.9</v>
      </c>
      <c r="E16">
        <v>481</v>
      </c>
      <c r="F16">
        <v>315</v>
      </c>
      <c r="G16">
        <v>0.65500000000000003</v>
      </c>
      <c r="H16">
        <v>33</v>
      </c>
      <c r="I16">
        <v>7</v>
      </c>
      <c r="J16">
        <v>106.5</v>
      </c>
      <c r="K16">
        <v>202</v>
      </c>
      <c r="L16">
        <v>0.42</v>
      </c>
      <c r="M16">
        <v>44</v>
      </c>
      <c r="N16">
        <v>13</v>
      </c>
      <c r="O16">
        <v>75</v>
      </c>
      <c r="P16">
        <v>24</v>
      </c>
      <c r="Q16">
        <v>173</v>
      </c>
      <c r="R16" t="s">
        <v>43</v>
      </c>
      <c r="S16" t="s">
        <v>49</v>
      </c>
    </row>
    <row r="17" spans="1:19" x14ac:dyDescent="0.35">
      <c r="A17">
        <v>15</v>
      </c>
      <c r="B17" t="s">
        <v>29</v>
      </c>
      <c r="C17">
        <v>3803</v>
      </c>
      <c r="D17">
        <v>6.3</v>
      </c>
      <c r="E17">
        <v>608</v>
      </c>
      <c r="F17">
        <v>399</v>
      </c>
      <c r="G17">
        <v>0.65600000000000003</v>
      </c>
      <c r="H17">
        <v>33</v>
      </c>
      <c r="I17">
        <v>10</v>
      </c>
      <c r="J17">
        <v>94.1</v>
      </c>
      <c r="K17">
        <v>193</v>
      </c>
      <c r="L17">
        <v>0.317</v>
      </c>
      <c r="M17">
        <v>43</v>
      </c>
      <c r="N17">
        <v>4</v>
      </c>
      <c r="O17">
        <v>84</v>
      </c>
      <c r="P17">
        <v>13</v>
      </c>
      <c r="Q17">
        <v>118</v>
      </c>
      <c r="R17" t="s">
        <v>43</v>
      </c>
      <c r="S17" t="s">
        <v>55</v>
      </c>
    </row>
    <row r="18" spans="1:19" x14ac:dyDescent="0.35">
      <c r="A18">
        <v>16</v>
      </c>
      <c r="B18" t="s">
        <v>30</v>
      </c>
      <c r="C18">
        <v>3733</v>
      </c>
      <c r="D18">
        <v>7.6</v>
      </c>
      <c r="E18">
        <v>492</v>
      </c>
      <c r="F18">
        <v>340</v>
      </c>
      <c r="G18">
        <v>0.69099999999999995</v>
      </c>
      <c r="H18">
        <v>15</v>
      </c>
      <c r="I18">
        <v>11</v>
      </c>
      <c r="J18">
        <v>92.1</v>
      </c>
      <c r="K18">
        <v>174</v>
      </c>
      <c r="L18">
        <v>0.35399999999999998</v>
      </c>
      <c r="M18">
        <v>49</v>
      </c>
      <c r="N18">
        <v>8</v>
      </c>
      <c r="O18">
        <v>75</v>
      </c>
      <c r="P18">
        <v>31</v>
      </c>
      <c r="Q18">
        <v>205</v>
      </c>
      <c r="R18" t="s">
        <v>44</v>
      </c>
      <c r="S18" t="s">
        <v>51</v>
      </c>
    </row>
    <row r="19" spans="1:19" x14ac:dyDescent="0.35">
      <c r="A19">
        <v>17</v>
      </c>
      <c r="B19" t="s">
        <v>31</v>
      </c>
      <c r="C19">
        <v>3563</v>
      </c>
      <c r="D19">
        <v>7.3</v>
      </c>
      <c r="E19">
        <v>486</v>
      </c>
      <c r="F19">
        <v>305</v>
      </c>
      <c r="G19">
        <v>0.628</v>
      </c>
      <c r="H19">
        <v>26</v>
      </c>
      <c r="I19">
        <v>8</v>
      </c>
      <c r="J19">
        <v>95.9</v>
      </c>
      <c r="K19">
        <v>188</v>
      </c>
      <c r="L19">
        <v>0.38700000000000001</v>
      </c>
      <c r="M19">
        <v>43</v>
      </c>
      <c r="N19">
        <v>5</v>
      </c>
      <c r="O19">
        <v>75</v>
      </c>
      <c r="P19">
        <v>26</v>
      </c>
      <c r="Q19">
        <v>162</v>
      </c>
      <c r="R19" t="s">
        <v>43</v>
      </c>
      <c r="S19" t="s">
        <v>55</v>
      </c>
    </row>
    <row r="20" spans="1:19" x14ac:dyDescent="0.35">
      <c r="A20">
        <v>18</v>
      </c>
      <c r="B20" t="s">
        <v>32</v>
      </c>
      <c r="C20">
        <v>2943</v>
      </c>
      <c r="D20">
        <v>6.6</v>
      </c>
      <c r="E20">
        <v>448</v>
      </c>
      <c r="F20">
        <v>280</v>
      </c>
      <c r="G20">
        <v>0.625</v>
      </c>
      <c r="H20">
        <v>11</v>
      </c>
      <c r="I20">
        <v>10</v>
      </c>
      <c r="J20">
        <v>80.400000000000006</v>
      </c>
      <c r="K20">
        <v>158</v>
      </c>
      <c r="L20">
        <v>0.35299999999999998</v>
      </c>
      <c r="M20">
        <v>31</v>
      </c>
      <c r="N20">
        <v>5</v>
      </c>
      <c r="O20">
        <v>53</v>
      </c>
      <c r="P20">
        <v>45</v>
      </c>
      <c r="Q20">
        <v>286</v>
      </c>
      <c r="R20" t="s">
        <v>44</v>
      </c>
      <c r="S20" t="s">
        <v>56</v>
      </c>
    </row>
    <row r="21" spans="1:19" x14ac:dyDescent="0.35">
      <c r="A21">
        <v>19</v>
      </c>
      <c r="B21" t="s">
        <v>33</v>
      </c>
      <c r="C21">
        <v>2942</v>
      </c>
      <c r="D21">
        <v>7.5</v>
      </c>
      <c r="E21">
        <v>390</v>
      </c>
      <c r="F21">
        <v>275</v>
      </c>
      <c r="G21">
        <v>0.70499999999999996</v>
      </c>
      <c r="H21">
        <v>24</v>
      </c>
      <c r="I21">
        <v>6</v>
      </c>
      <c r="J21">
        <v>106.4</v>
      </c>
      <c r="K21">
        <v>149</v>
      </c>
      <c r="L21">
        <v>0.38200000000000001</v>
      </c>
      <c r="M21">
        <v>31</v>
      </c>
      <c r="N21">
        <v>8</v>
      </c>
      <c r="O21">
        <v>52</v>
      </c>
      <c r="P21">
        <v>13</v>
      </c>
      <c r="Q21">
        <v>89</v>
      </c>
      <c r="R21" t="s">
        <v>44</v>
      </c>
      <c r="S21" t="s">
        <v>51</v>
      </c>
    </row>
    <row r="22" spans="1:19" x14ac:dyDescent="0.35">
      <c r="A22">
        <v>20</v>
      </c>
      <c r="B22" t="s">
        <v>34</v>
      </c>
      <c r="C22">
        <v>2933</v>
      </c>
      <c r="D22">
        <v>6.6</v>
      </c>
      <c r="E22">
        <v>443</v>
      </c>
      <c r="F22">
        <v>254</v>
      </c>
      <c r="G22">
        <v>0.57299999999999995</v>
      </c>
      <c r="H22">
        <v>16</v>
      </c>
      <c r="I22">
        <v>15</v>
      </c>
      <c r="J22">
        <v>75.400000000000006</v>
      </c>
      <c r="K22">
        <v>145</v>
      </c>
      <c r="L22">
        <v>0.32700000000000001</v>
      </c>
      <c r="M22">
        <v>38</v>
      </c>
      <c r="N22">
        <v>8</v>
      </c>
      <c r="O22">
        <v>92</v>
      </c>
      <c r="P22">
        <v>19</v>
      </c>
      <c r="Q22">
        <v>123</v>
      </c>
      <c r="R22" t="s">
        <v>43</v>
      </c>
      <c r="S22" t="s">
        <v>50</v>
      </c>
    </row>
    <row r="23" spans="1:19" x14ac:dyDescent="0.35">
      <c r="A23">
        <v>21</v>
      </c>
      <c r="B23" t="s">
        <v>35</v>
      </c>
      <c r="C23">
        <v>2757</v>
      </c>
      <c r="D23">
        <v>7.3</v>
      </c>
      <c r="E23">
        <v>376</v>
      </c>
      <c r="F23">
        <v>242</v>
      </c>
      <c r="G23">
        <v>0.64400000000000002</v>
      </c>
      <c r="H23">
        <v>26</v>
      </c>
      <c r="I23">
        <v>9</v>
      </c>
      <c r="J23">
        <v>99.3</v>
      </c>
      <c r="K23">
        <v>138</v>
      </c>
      <c r="L23">
        <v>0.36699999999999999</v>
      </c>
      <c r="M23">
        <v>37</v>
      </c>
      <c r="N23">
        <v>4</v>
      </c>
      <c r="O23">
        <v>47</v>
      </c>
      <c r="P23">
        <v>29</v>
      </c>
      <c r="Q23">
        <v>160</v>
      </c>
      <c r="R23" t="s">
        <v>43</v>
      </c>
      <c r="S23" t="s">
        <v>55</v>
      </c>
    </row>
    <row r="24" spans="1:19" x14ac:dyDescent="0.35">
      <c r="A24">
        <v>22</v>
      </c>
      <c r="B24" t="s">
        <v>36</v>
      </c>
      <c r="C24">
        <v>2688</v>
      </c>
      <c r="D24">
        <v>6.7</v>
      </c>
      <c r="E24">
        <v>404</v>
      </c>
      <c r="F24">
        <v>264</v>
      </c>
      <c r="G24">
        <v>0.65300000000000002</v>
      </c>
      <c r="H24">
        <v>13</v>
      </c>
      <c r="I24">
        <v>5</v>
      </c>
      <c r="J24">
        <v>89.8</v>
      </c>
      <c r="K24">
        <v>150</v>
      </c>
      <c r="L24">
        <v>0.371</v>
      </c>
      <c r="M24">
        <v>23</v>
      </c>
      <c r="N24">
        <v>3</v>
      </c>
      <c r="O24">
        <v>67</v>
      </c>
      <c r="P24">
        <v>32</v>
      </c>
      <c r="Q24">
        <v>231</v>
      </c>
      <c r="R24" t="s">
        <v>43</v>
      </c>
      <c r="S24" t="s">
        <v>55</v>
      </c>
    </row>
    <row r="25" spans="1:19" x14ac:dyDescent="0.35">
      <c r="A25">
        <v>23</v>
      </c>
      <c r="B25" t="s">
        <v>37</v>
      </c>
      <c r="C25">
        <v>2657</v>
      </c>
      <c r="D25">
        <v>7.2</v>
      </c>
      <c r="E25">
        <v>368</v>
      </c>
      <c r="F25">
        <v>242</v>
      </c>
      <c r="G25">
        <v>0.65800000000000003</v>
      </c>
      <c r="H25">
        <v>8</v>
      </c>
      <c r="I25">
        <v>10</v>
      </c>
      <c r="J25">
        <v>82.9</v>
      </c>
      <c r="K25">
        <v>133</v>
      </c>
      <c r="L25">
        <v>0.36099999999999999</v>
      </c>
      <c r="M25">
        <v>31</v>
      </c>
      <c r="N25">
        <v>3</v>
      </c>
      <c r="O25">
        <v>50</v>
      </c>
      <c r="P25">
        <v>31</v>
      </c>
      <c r="Q25">
        <v>195</v>
      </c>
      <c r="R25" t="s">
        <v>43</v>
      </c>
      <c r="S25" t="s">
        <v>52</v>
      </c>
    </row>
    <row r="26" spans="1:19" x14ac:dyDescent="0.35">
      <c r="A26">
        <v>24</v>
      </c>
      <c r="B26" t="s">
        <v>38</v>
      </c>
      <c r="C26">
        <v>2620</v>
      </c>
      <c r="D26">
        <v>6</v>
      </c>
      <c r="E26">
        <v>437</v>
      </c>
      <c r="F26">
        <v>251</v>
      </c>
      <c r="G26">
        <v>0.57399999999999995</v>
      </c>
      <c r="H26">
        <v>16</v>
      </c>
      <c r="I26">
        <v>15</v>
      </c>
      <c r="J26">
        <v>72.8</v>
      </c>
      <c r="K26">
        <v>130</v>
      </c>
      <c r="L26">
        <v>0.29699999999999999</v>
      </c>
      <c r="M26">
        <v>27</v>
      </c>
      <c r="N26">
        <v>6</v>
      </c>
      <c r="O26">
        <v>59</v>
      </c>
      <c r="P26">
        <v>50</v>
      </c>
      <c r="Q26">
        <v>326</v>
      </c>
      <c r="R26" t="s">
        <v>44</v>
      </c>
      <c r="S26" t="s">
        <v>56</v>
      </c>
    </row>
    <row r="27" spans="1:19" x14ac:dyDescent="0.35">
      <c r="A27">
        <v>25</v>
      </c>
      <c r="B27" t="s">
        <v>59</v>
      </c>
      <c r="C27">
        <v>2437</v>
      </c>
      <c r="D27">
        <v>7.5</v>
      </c>
      <c r="E27">
        <v>326</v>
      </c>
      <c r="F27">
        <v>211</v>
      </c>
      <c r="G27">
        <v>0.64700000000000002</v>
      </c>
      <c r="H27">
        <v>12</v>
      </c>
      <c r="I27">
        <v>12</v>
      </c>
      <c r="J27">
        <v>84.1</v>
      </c>
      <c r="K27">
        <v>120</v>
      </c>
      <c r="L27">
        <v>0.36799999999999999</v>
      </c>
      <c r="M27">
        <v>33</v>
      </c>
      <c r="N27">
        <v>4</v>
      </c>
      <c r="O27">
        <v>49</v>
      </c>
      <c r="P27">
        <v>19</v>
      </c>
      <c r="Q27">
        <v>139</v>
      </c>
      <c r="R27" t="s">
        <v>44</v>
      </c>
      <c r="S27" t="s">
        <v>54</v>
      </c>
    </row>
    <row r="28" spans="1:19" x14ac:dyDescent="0.35">
      <c r="A28">
        <v>26</v>
      </c>
      <c r="B28" t="s">
        <v>60</v>
      </c>
      <c r="C28">
        <v>2259</v>
      </c>
      <c r="D28">
        <v>6.9</v>
      </c>
      <c r="E28">
        <v>327</v>
      </c>
      <c r="F28">
        <v>216</v>
      </c>
      <c r="G28">
        <v>0.66100000000000003</v>
      </c>
      <c r="H28">
        <v>16</v>
      </c>
      <c r="I28">
        <v>5</v>
      </c>
      <c r="J28">
        <v>95.9</v>
      </c>
      <c r="K28">
        <v>117</v>
      </c>
      <c r="L28">
        <v>0.35799999999999998</v>
      </c>
      <c r="M28">
        <v>27</v>
      </c>
      <c r="N28">
        <v>3</v>
      </c>
      <c r="O28">
        <v>51</v>
      </c>
      <c r="P28">
        <v>27</v>
      </c>
      <c r="Q28">
        <v>147</v>
      </c>
      <c r="R28" t="s">
        <v>43</v>
      </c>
      <c r="S28" t="s">
        <v>49</v>
      </c>
    </row>
    <row r="29" spans="1:19" x14ac:dyDescent="0.35">
      <c r="A29">
        <v>27</v>
      </c>
      <c r="B29" t="s">
        <v>61</v>
      </c>
      <c r="C29">
        <v>2208</v>
      </c>
      <c r="D29">
        <v>6.1</v>
      </c>
      <c r="E29">
        <v>364</v>
      </c>
      <c r="F29">
        <v>217</v>
      </c>
      <c r="G29">
        <v>0.59599999999999997</v>
      </c>
      <c r="H29">
        <v>9</v>
      </c>
      <c r="I29">
        <v>11</v>
      </c>
      <c r="J29">
        <v>72.7</v>
      </c>
      <c r="K29">
        <v>109</v>
      </c>
      <c r="L29">
        <v>0.29899999999999999</v>
      </c>
      <c r="M29">
        <v>27</v>
      </c>
      <c r="N29">
        <v>2</v>
      </c>
      <c r="O29">
        <v>69</v>
      </c>
      <c r="P29">
        <v>35</v>
      </c>
      <c r="Q29">
        <v>234</v>
      </c>
      <c r="R29" t="s">
        <v>43</v>
      </c>
      <c r="S29" t="s">
        <v>52</v>
      </c>
    </row>
    <row r="30" spans="1:19" x14ac:dyDescent="0.35">
      <c r="A30">
        <v>28</v>
      </c>
      <c r="B30" t="s">
        <v>62</v>
      </c>
      <c r="C30">
        <v>2170</v>
      </c>
      <c r="D30">
        <v>6.5</v>
      </c>
      <c r="E30">
        <v>333</v>
      </c>
      <c r="F30">
        <v>216</v>
      </c>
      <c r="G30">
        <v>0.64900000000000002</v>
      </c>
      <c r="H30">
        <v>14</v>
      </c>
      <c r="I30">
        <v>8</v>
      </c>
      <c r="J30">
        <v>87.3</v>
      </c>
      <c r="K30">
        <v>116</v>
      </c>
      <c r="L30">
        <v>0.34799999999999998</v>
      </c>
      <c r="M30">
        <v>20</v>
      </c>
      <c r="N30">
        <v>5</v>
      </c>
      <c r="O30">
        <v>69</v>
      </c>
      <c r="P30">
        <v>24</v>
      </c>
      <c r="Q30">
        <v>184</v>
      </c>
      <c r="R30" t="s">
        <v>44</v>
      </c>
      <c r="S30" t="s">
        <v>56</v>
      </c>
    </row>
    <row r="31" spans="1:19" x14ac:dyDescent="0.35">
      <c r="A31">
        <v>29</v>
      </c>
      <c r="B31" t="s">
        <v>63</v>
      </c>
      <c r="C31">
        <v>2091</v>
      </c>
      <c r="D31">
        <v>7.8</v>
      </c>
      <c r="E31">
        <v>267</v>
      </c>
      <c r="F31">
        <v>183</v>
      </c>
      <c r="G31">
        <v>0.68500000000000005</v>
      </c>
      <c r="H31">
        <v>13</v>
      </c>
      <c r="I31">
        <v>8</v>
      </c>
      <c r="J31">
        <v>95.6</v>
      </c>
      <c r="K31">
        <v>106</v>
      </c>
      <c r="L31">
        <v>0.39700000000000002</v>
      </c>
      <c r="M31">
        <v>24</v>
      </c>
      <c r="N31">
        <v>4</v>
      </c>
      <c r="O31">
        <v>70</v>
      </c>
      <c r="P31">
        <v>14</v>
      </c>
      <c r="Q31">
        <v>65</v>
      </c>
      <c r="R31" t="s">
        <v>43</v>
      </c>
      <c r="S31" t="s">
        <v>52</v>
      </c>
    </row>
    <row r="32" spans="1:19" x14ac:dyDescent="0.35">
      <c r="A32">
        <v>30</v>
      </c>
      <c r="B32" t="s">
        <v>64</v>
      </c>
      <c r="C32">
        <v>2055</v>
      </c>
      <c r="D32">
        <v>6.9</v>
      </c>
      <c r="E32">
        <v>297</v>
      </c>
      <c r="F32">
        <v>199</v>
      </c>
      <c r="G32">
        <v>0.67</v>
      </c>
      <c r="H32">
        <v>16</v>
      </c>
      <c r="I32">
        <v>8</v>
      </c>
      <c r="J32">
        <v>93.5</v>
      </c>
      <c r="K32">
        <v>124</v>
      </c>
      <c r="L32">
        <v>0.41799999999999998</v>
      </c>
      <c r="M32">
        <v>18</v>
      </c>
      <c r="N32">
        <v>1</v>
      </c>
      <c r="O32">
        <v>53</v>
      </c>
      <c r="P32">
        <v>18</v>
      </c>
      <c r="Q32">
        <v>125</v>
      </c>
      <c r="R32" t="s">
        <v>44</v>
      </c>
      <c r="S32" t="s">
        <v>53</v>
      </c>
    </row>
    <row r="33" spans="1:19" x14ac:dyDescent="0.35">
      <c r="A33">
        <v>31</v>
      </c>
      <c r="B33" t="s">
        <v>65</v>
      </c>
      <c r="C33">
        <v>1582</v>
      </c>
      <c r="D33">
        <v>6.3</v>
      </c>
      <c r="E33">
        <v>252</v>
      </c>
      <c r="F33">
        <v>168</v>
      </c>
      <c r="G33">
        <v>0.66700000000000004</v>
      </c>
      <c r="H33">
        <v>6</v>
      </c>
      <c r="I33">
        <v>8</v>
      </c>
      <c r="J33">
        <v>78.5</v>
      </c>
      <c r="K33">
        <v>74</v>
      </c>
      <c r="L33">
        <v>0.29399999999999998</v>
      </c>
      <c r="M33">
        <v>16</v>
      </c>
      <c r="N33">
        <v>3</v>
      </c>
      <c r="O33">
        <v>68</v>
      </c>
      <c r="P33">
        <v>22</v>
      </c>
      <c r="Q33">
        <v>139</v>
      </c>
      <c r="R33" t="s">
        <v>44</v>
      </c>
      <c r="S33" t="s">
        <v>56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24E9C-0F5D-40F6-882F-59685D4DE75A}">
  <dimension ref="A3:C59"/>
  <sheetViews>
    <sheetView showGridLines="0" showRowColHeaders="0" tabSelected="1" zoomScale="89" zoomScaleNormal="85" workbookViewId="0">
      <selection activeCell="A3" sqref="A3"/>
    </sheetView>
  </sheetViews>
  <sheetFormatPr defaultRowHeight="14.5" x14ac:dyDescent="0.35"/>
  <cols>
    <col min="1" max="1" width="22.81640625" bestFit="1" customWidth="1"/>
    <col min="2" max="2" width="9.7265625" bestFit="1" customWidth="1"/>
    <col min="3" max="3" width="10.08984375" bestFit="1" customWidth="1"/>
    <col min="4" max="4" width="14.08984375" bestFit="1" customWidth="1"/>
    <col min="5" max="5" width="2.81640625" customWidth="1"/>
    <col min="6" max="17" width="2.81640625" bestFit="1" customWidth="1"/>
    <col min="18" max="18" width="10.7265625" bestFit="1" customWidth="1"/>
  </cols>
  <sheetData>
    <row r="3" spans="1:3" x14ac:dyDescent="0.35">
      <c r="A3" s="2" t="s">
        <v>39</v>
      </c>
      <c r="B3" t="s">
        <v>41</v>
      </c>
      <c r="C3" t="s">
        <v>45</v>
      </c>
    </row>
    <row r="4" spans="1:3" x14ac:dyDescent="0.35">
      <c r="A4" s="3" t="s">
        <v>43</v>
      </c>
      <c r="B4" s="1"/>
      <c r="C4" s="1"/>
    </row>
    <row r="5" spans="1:3" x14ac:dyDescent="0.35">
      <c r="A5" s="4" t="s">
        <v>52</v>
      </c>
      <c r="B5" s="1"/>
      <c r="C5" s="1"/>
    </row>
    <row r="6" spans="1:3" x14ac:dyDescent="0.35">
      <c r="A6" s="5" t="s">
        <v>37</v>
      </c>
      <c r="B6" s="1">
        <v>8</v>
      </c>
      <c r="C6" s="1">
        <v>31</v>
      </c>
    </row>
    <row r="7" spans="1:3" x14ac:dyDescent="0.35">
      <c r="A7" s="5" t="s">
        <v>18</v>
      </c>
      <c r="B7" s="1">
        <v>37</v>
      </c>
      <c r="C7" s="1">
        <v>26</v>
      </c>
    </row>
    <row r="8" spans="1:3" x14ac:dyDescent="0.35">
      <c r="A8" s="5" t="s">
        <v>61</v>
      </c>
      <c r="B8" s="1">
        <v>9</v>
      </c>
      <c r="C8" s="1">
        <v>35</v>
      </c>
    </row>
    <row r="9" spans="1:3" x14ac:dyDescent="0.35">
      <c r="A9" s="5" t="s">
        <v>63</v>
      </c>
      <c r="B9" s="1">
        <v>13</v>
      </c>
      <c r="C9" s="1">
        <v>14</v>
      </c>
    </row>
    <row r="10" spans="1:3" x14ac:dyDescent="0.35">
      <c r="A10" s="4" t="s">
        <v>55</v>
      </c>
      <c r="B10" s="1"/>
      <c r="C10" s="1"/>
    </row>
    <row r="11" spans="1:3" x14ac:dyDescent="0.35">
      <c r="A11" s="5" t="s">
        <v>31</v>
      </c>
      <c r="B11" s="1">
        <v>26</v>
      </c>
      <c r="C11" s="1">
        <v>26</v>
      </c>
    </row>
    <row r="12" spans="1:3" x14ac:dyDescent="0.35">
      <c r="A12" s="5" t="s">
        <v>29</v>
      </c>
      <c r="B12" s="1">
        <v>33</v>
      </c>
      <c r="C12" s="1">
        <v>13</v>
      </c>
    </row>
    <row r="13" spans="1:3" x14ac:dyDescent="0.35">
      <c r="A13" s="5" t="s">
        <v>36</v>
      </c>
      <c r="B13" s="1">
        <v>13</v>
      </c>
      <c r="C13" s="1">
        <v>32</v>
      </c>
    </row>
    <row r="14" spans="1:3" x14ac:dyDescent="0.35">
      <c r="A14" s="5" t="s">
        <v>35</v>
      </c>
      <c r="B14" s="1">
        <v>26</v>
      </c>
      <c r="C14" s="1">
        <v>29</v>
      </c>
    </row>
    <row r="15" spans="1:3" x14ac:dyDescent="0.35">
      <c r="A15" s="4" t="s">
        <v>49</v>
      </c>
      <c r="B15" s="1"/>
      <c r="C15" s="1"/>
    </row>
    <row r="16" spans="1:3" x14ac:dyDescent="0.35">
      <c r="A16" s="5" t="s">
        <v>14</v>
      </c>
      <c r="B16" s="1">
        <v>33</v>
      </c>
      <c r="C16" s="1">
        <v>49</v>
      </c>
    </row>
    <row r="17" spans="1:3" x14ac:dyDescent="0.35">
      <c r="A17" s="5" t="s">
        <v>23</v>
      </c>
      <c r="B17" s="1">
        <v>24</v>
      </c>
      <c r="C17" s="1">
        <v>19</v>
      </c>
    </row>
    <row r="18" spans="1:3" x14ac:dyDescent="0.35">
      <c r="A18" s="5" t="s">
        <v>28</v>
      </c>
      <c r="B18" s="1">
        <v>33</v>
      </c>
      <c r="C18" s="1">
        <v>24</v>
      </c>
    </row>
    <row r="19" spans="1:3" x14ac:dyDescent="0.35">
      <c r="A19" s="5" t="s">
        <v>60</v>
      </c>
      <c r="B19" s="1">
        <v>16</v>
      </c>
      <c r="C19" s="1">
        <v>27</v>
      </c>
    </row>
    <row r="20" spans="1:3" x14ac:dyDescent="0.35">
      <c r="A20" s="4" t="s">
        <v>50</v>
      </c>
      <c r="B20" s="1"/>
      <c r="C20" s="1"/>
    </row>
    <row r="21" spans="1:3" x14ac:dyDescent="0.35">
      <c r="A21" s="5" t="s">
        <v>24</v>
      </c>
      <c r="B21" s="1">
        <v>27</v>
      </c>
      <c r="C21" s="1">
        <v>26</v>
      </c>
    </row>
    <row r="22" spans="1:3" x14ac:dyDescent="0.35">
      <c r="A22" s="5" t="s">
        <v>34</v>
      </c>
      <c r="B22" s="1">
        <v>16</v>
      </c>
      <c r="C22" s="1">
        <v>19</v>
      </c>
    </row>
    <row r="23" spans="1:3" x14ac:dyDescent="0.35">
      <c r="A23" s="5" t="s">
        <v>19</v>
      </c>
      <c r="B23" s="1">
        <v>31</v>
      </c>
      <c r="C23" s="1">
        <v>32</v>
      </c>
    </row>
    <row r="24" spans="1:3" x14ac:dyDescent="0.35">
      <c r="A24" s="5" t="s">
        <v>15</v>
      </c>
      <c r="B24" s="1">
        <v>38</v>
      </c>
      <c r="C24" s="1">
        <v>22</v>
      </c>
    </row>
    <row r="25" spans="1:3" x14ac:dyDescent="0.35">
      <c r="A25" s="3" t="s">
        <v>44</v>
      </c>
      <c r="B25" s="1"/>
      <c r="C25" s="1"/>
    </row>
    <row r="26" spans="1:3" x14ac:dyDescent="0.35">
      <c r="A26" s="4" t="s">
        <v>56</v>
      </c>
      <c r="B26" s="1"/>
      <c r="C26" s="1"/>
    </row>
    <row r="27" spans="1:3" x14ac:dyDescent="0.35">
      <c r="A27" s="5" t="s">
        <v>38</v>
      </c>
      <c r="B27" s="1">
        <v>16</v>
      </c>
      <c r="C27" s="1">
        <v>50</v>
      </c>
    </row>
    <row r="28" spans="1:3" x14ac:dyDescent="0.35">
      <c r="A28" s="5" t="s">
        <v>32</v>
      </c>
      <c r="B28" s="1">
        <v>11</v>
      </c>
      <c r="C28" s="1">
        <v>45</v>
      </c>
    </row>
    <row r="29" spans="1:3" x14ac:dyDescent="0.35">
      <c r="A29" s="5" t="s">
        <v>62</v>
      </c>
      <c r="B29" s="1">
        <v>14</v>
      </c>
      <c r="C29" s="1">
        <v>24</v>
      </c>
    </row>
    <row r="30" spans="1:3" x14ac:dyDescent="0.35">
      <c r="A30" s="5" t="s">
        <v>65</v>
      </c>
      <c r="B30" s="1">
        <v>6</v>
      </c>
      <c r="C30" s="1">
        <v>22</v>
      </c>
    </row>
    <row r="31" spans="1:3" x14ac:dyDescent="0.35">
      <c r="A31" s="4" t="s">
        <v>53</v>
      </c>
      <c r="B31" s="1"/>
      <c r="C31" s="1"/>
    </row>
    <row r="32" spans="1:3" x14ac:dyDescent="0.35">
      <c r="A32" s="5" t="s">
        <v>20</v>
      </c>
      <c r="B32" s="1">
        <v>48</v>
      </c>
      <c r="C32" s="1">
        <v>20</v>
      </c>
    </row>
    <row r="33" spans="1:3" x14ac:dyDescent="0.35">
      <c r="A33" s="5" t="s">
        <v>21</v>
      </c>
      <c r="B33" s="1">
        <v>35</v>
      </c>
      <c r="C33" s="1">
        <v>39</v>
      </c>
    </row>
    <row r="34" spans="1:3" x14ac:dyDescent="0.35">
      <c r="A34" s="5" t="s">
        <v>25</v>
      </c>
      <c r="B34" s="1">
        <v>26</v>
      </c>
      <c r="C34" s="1">
        <v>38</v>
      </c>
    </row>
    <row r="35" spans="1:3" x14ac:dyDescent="0.35">
      <c r="A35" s="5" t="s">
        <v>64</v>
      </c>
      <c r="B35" s="1">
        <v>16</v>
      </c>
      <c r="C35" s="1">
        <v>18</v>
      </c>
    </row>
    <row r="36" spans="1:3" x14ac:dyDescent="0.35">
      <c r="A36" s="4" t="s">
        <v>51</v>
      </c>
      <c r="B36" s="1"/>
      <c r="C36" s="1"/>
    </row>
    <row r="37" spans="1:3" x14ac:dyDescent="0.35">
      <c r="A37" s="5" t="s">
        <v>33</v>
      </c>
      <c r="B37" s="1">
        <v>24</v>
      </c>
      <c r="C37" s="1">
        <v>13</v>
      </c>
    </row>
    <row r="38" spans="1:3" x14ac:dyDescent="0.35">
      <c r="A38" s="5" t="s">
        <v>17</v>
      </c>
      <c r="B38" s="1">
        <v>26</v>
      </c>
      <c r="C38" s="1">
        <v>41</v>
      </c>
    </row>
    <row r="39" spans="1:3" x14ac:dyDescent="0.35">
      <c r="A39" s="5" t="s">
        <v>30</v>
      </c>
      <c r="B39" s="1">
        <v>15</v>
      </c>
      <c r="C39" s="1">
        <v>31</v>
      </c>
    </row>
    <row r="40" spans="1:3" x14ac:dyDescent="0.35">
      <c r="A40" s="5" t="s">
        <v>16</v>
      </c>
      <c r="B40" s="1">
        <v>40</v>
      </c>
      <c r="C40" s="1">
        <v>21</v>
      </c>
    </row>
    <row r="41" spans="1:3" x14ac:dyDescent="0.35">
      <c r="A41" s="4" t="s">
        <v>54</v>
      </c>
      <c r="B41" s="1"/>
      <c r="C41" s="1"/>
    </row>
    <row r="42" spans="1:3" x14ac:dyDescent="0.35">
      <c r="A42" s="5" t="s">
        <v>27</v>
      </c>
      <c r="B42" s="1">
        <v>20</v>
      </c>
      <c r="C42" s="1">
        <v>23</v>
      </c>
    </row>
    <row r="43" spans="1:3" x14ac:dyDescent="0.35">
      <c r="A43" s="5" t="s">
        <v>26</v>
      </c>
      <c r="B43" s="1">
        <v>26</v>
      </c>
      <c r="C43" s="1">
        <v>27</v>
      </c>
    </row>
    <row r="44" spans="1:3" x14ac:dyDescent="0.35">
      <c r="A44" s="5" t="s">
        <v>22</v>
      </c>
      <c r="B44" s="1">
        <v>40</v>
      </c>
      <c r="C44" s="1">
        <v>47</v>
      </c>
    </row>
    <row r="45" spans="1:3" x14ac:dyDescent="0.35">
      <c r="A45" s="5" t="s">
        <v>59</v>
      </c>
      <c r="B45" s="1">
        <v>12</v>
      </c>
      <c r="C45" s="1">
        <v>19</v>
      </c>
    </row>
    <row r="46" spans="1:3" x14ac:dyDescent="0.35">
      <c r="A46" s="3" t="s">
        <v>40</v>
      </c>
      <c r="B46" s="1">
        <v>758</v>
      </c>
      <c r="C46" s="1">
        <v>902</v>
      </c>
    </row>
    <row r="48" spans="1:3" x14ac:dyDescent="0.35">
      <c r="A48" s="2" t="s">
        <v>42</v>
      </c>
      <c r="B48" t="s">
        <v>57</v>
      </c>
    </row>
    <row r="50" spans="1:2" x14ac:dyDescent="0.35">
      <c r="A50" s="2" t="s">
        <v>39</v>
      </c>
      <c r="B50" t="s">
        <v>58</v>
      </c>
    </row>
    <row r="51" spans="1:2" x14ac:dyDescent="0.35">
      <c r="A51" s="3" t="s">
        <v>52</v>
      </c>
      <c r="B51" s="1">
        <v>89.6</v>
      </c>
    </row>
    <row r="52" spans="1:2" x14ac:dyDescent="0.35">
      <c r="A52" s="3" t="s">
        <v>55</v>
      </c>
      <c r="B52" s="1">
        <v>94.775000000000006</v>
      </c>
    </row>
    <row r="53" spans="1:2" x14ac:dyDescent="0.35">
      <c r="A53" s="3" t="s">
        <v>49</v>
      </c>
      <c r="B53" s="1">
        <v>102.94999999999999</v>
      </c>
    </row>
    <row r="54" spans="1:2" x14ac:dyDescent="0.35">
      <c r="A54" s="3" t="s">
        <v>50</v>
      </c>
      <c r="B54" s="1">
        <v>95.824999999999989</v>
      </c>
    </row>
    <row r="55" spans="1:2" x14ac:dyDescent="0.35">
      <c r="A55" s="3" t="s">
        <v>56</v>
      </c>
      <c r="B55" s="1">
        <v>79.75</v>
      </c>
    </row>
    <row r="56" spans="1:2" x14ac:dyDescent="0.35">
      <c r="A56" s="3" t="s">
        <v>53</v>
      </c>
      <c r="B56" s="1">
        <v>104.075</v>
      </c>
    </row>
    <row r="57" spans="1:2" x14ac:dyDescent="0.35">
      <c r="A57" s="3" t="s">
        <v>51</v>
      </c>
      <c r="B57" s="1">
        <v>98.5</v>
      </c>
    </row>
    <row r="58" spans="1:2" x14ac:dyDescent="0.35">
      <c r="A58" s="3" t="s">
        <v>54</v>
      </c>
      <c r="B58" s="1">
        <v>93.375</v>
      </c>
    </row>
    <row r="59" spans="1:2" x14ac:dyDescent="0.35">
      <c r="A59" s="3" t="s">
        <v>40</v>
      </c>
      <c r="B59" s="1">
        <v>94.856250000000017</v>
      </c>
    </row>
  </sheetData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Interceptions">
                <anchor moveWithCells="1">
                  <from>
                    <xdr:col>17</xdr:col>
                    <xdr:colOff>679450</xdr:colOff>
                    <xdr:row>24</xdr:row>
                    <xdr:rowOff>6350</xdr:rowOff>
                  </from>
                  <to>
                    <xdr:col>21</xdr:col>
                    <xdr:colOff>393700</xdr:colOff>
                    <xdr:row>26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7" name="Button 23">
              <controlPr defaultSize="0" print="0" autoFill="0" autoPict="0" macro="[0]!Sack">
                <anchor moveWithCells="1" sizeWithCells="1">
                  <from>
                    <xdr:col>9</xdr:col>
                    <xdr:colOff>184150</xdr:colOff>
                    <xdr:row>24</xdr:row>
                    <xdr:rowOff>6350</xdr:rowOff>
                  </from>
                  <to>
                    <xdr:col>17</xdr:col>
                    <xdr:colOff>673100</xdr:colOff>
                    <xdr:row>26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A0A7C769CC81C42926ECB5C4B1D6F8C" ma:contentTypeVersion="2" ma:contentTypeDescription="Create a new document." ma:contentTypeScope="" ma:versionID="2f7c42b0dceb4be24905d1389ed03989">
  <xsd:schema xmlns:xsd="http://www.w3.org/2001/XMLSchema" xmlns:xs="http://www.w3.org/2001/XMLSchema" xmlns:p="http://schemas.microsoft.com/office/2006/metadata/properties" xmlns:ns3="4017a0b5-0ce2-4fdb-9538-ec96a5f6e977" targetNamespace="http://schemas.microsoft.com/office/2006/metadata/properties" ma:root="true" ma:fieldsID="00693e043b224fed6c7476021b7a7196" ns3:_="">
    <xsd:import namespace="4017a0b5-0ce2-4fdb-9538-ec96a5f6e97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17a0b5-0ce2-4fdb-9538-ec96a5f6e97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6AA64FB-D18A-4A61-A2D1-6003D79D8C1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37CBE2A-CEB8-4A97-938A-E97DF54671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017a0b5-0ce2-4fdb-9538-ec96a5f6e9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533FC47-4A61-4636-BD06-685E7DB4BE5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7F420ED-7B63-48D0-B3C0-3F19BA5D7E83}">
  <ds:schemaRefs>
    <ds:schemaRef ds:uri="4017a0b5-0ce2-4fdb-9538-ec96a5f6e977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Dustin Oakes</dc:creator>
  <cp:lastModifiedBy>Dustin Oakes</cp:lastModifiedBy>
  <dcterms:created xsi:type="dcterms:W3CDTF">2021-03-16T17:38:44Z</dcterms:created>
  <dcterms:modified xsi:type="dcterms:W3CDTF">2021-03-17T06:57:49Z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0x0101000A0A7C769CC81C42926ECB5C4B1D6F8C</vt:lpwstr>
  </property>
</Properties>
</file>